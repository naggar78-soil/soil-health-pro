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IO\Desktop\Soil_app\"/>
    </mc:Choice>
  </mc:AlternateContent>
  <xr:revisionPtr revIDLastSave="0" documentId="8_{6100DE9C-0C9B-4AEA-8D1F-6249038FAD6B}" xr6:coauthVersionLast="47" xr6:coauthVersionMax="47" xr10:uidLastSave="{00000000-0000-0000-0000-000000000000}"/>
  <bookViews>
    <workbookView xWindow="-110" yWindow="-110" windowWidth="24220" windowHeight="15500" activeTab="4" xr2:uid="{00000000-000D-0000-FFFF-FFFF00000000}"/>
  </bookViews>
  <sheets>
    <sheet name="Reference" sheetId="1" r:id="rId1"/>
    <sheet name="Calculator" sheetId="2" r:id="rId2"/>
    <sheet name="Sheet1" sheetId="3" r:id="rId3"/>
    <sheet name="Sheet2" sheetId="4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5" l="1"/>
  <c r="G38" i="4"/>
  <c r="J11" i="4"/>
  <c r="J36" i="4"/>
  <c r="J27" i="4"/>
  <c r="J8" i="4"/>
  <c r="G3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F24" i="1"/>
  <c r="G2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" i="2"/>
</calcChain>
</file>

<file path=xl/sharedStrings.xml><?xml version="1.0" encoding="utf-8"?>
<sst xmlns="http://schemas.openxmlformats.org/spreadsheetml/2006/main" count="746" uniqueCount="276">
  <si>
    <t>Category</t>
  </si>
  <si>
    <t>Parameter</t>
  </si>
  <si>
    <t>Unit</t>
  </si>
  <si>
    <t>Optimum_min</t>
  </si>
  <si>
    <t>Optimum_max</t>
  </si>
  <si>
    <t>Weight_pct</t>
  </si>
  <si>
    <t>Notes</t>
  </si>
  <si>
    <t>Basic properties</t>
  </si>
  <si>
    <t>Macronutrients</t>
  </si>
  <si>
    <t>Secondary nutrients</t>
  </si>
  <si>
    <t>Micronutrients</t>
  </si>
  <si>
    <t>Sodicity / Salinity risk</t>
  </si>
  <si>
    <t>Physical properties</t>
  </si>
  <si>
    <t>Biological health</t>
  </si>
  <si>
    <t>Soil pH (paste)</t>
  </si>
  <si>
    <t>Electrical Conductivity (ECe, dS/m)</t>
  </si>
  <si>
    <t>Organic Matter %</t>
  </si>
  <si>
    <t>Available Nitrogen (N, mg/kg)</t>
  </si>
  <si>
    <t>Available Phosphorus (P, mg/kg)</t>
  </si>
  <si>
    <t>Available Potassium (K, mg/kg)</t>
  </si>
  <si>
    <t>Exchangeable Calcium (Ca²⁺, ppm)</t>
  </si>
  <si>
    <t>Exchangeable Magnesium (Mg²⁺, ppm)</t>
  </si>
  <si>
    <t>Sulfur (SO₄–S, mg/kg)</t>
  </si>
  <si>
    <t>Iron (Fe, mg/kg)</t>
  </si>
  <si>
    <t>Zinc (Zn, mg/kg)</t>
  </si>
  <si>
    <t>Copper (Cu, mg/kg)</t>
  </si>
  <si>
    <t>Manganese (Mn, mg/kg)</t>
  </si>
  <si>
    <t>Boron (B, mg/kg)</t>
  </si>
  <si>
    <t>SAR (Sodium Adsorption Ratio)</t>
  </si>
  <si>
    <t>ESP (Exchangeable Sodium %)</t>
  </si>
  <si>
    <t>Bulk Density (g/cm³)</t>
  </si>
  <si>
    <t>Infiltration Rate (mm/hr)</t>
  </si>
  <si>
    <t>Soil Respiration (CO₂‑C, mg CO₂‑C/kg/day)</t>
  </si>
  <si>
    <t>Microbial Biomass C (mg/kg)</t>
  </si>
  <si>
    <t>Earthworms count (worms/m²)</t>
  </si>
  <si>
    <t>dS/m</t>
  </si>
  <si>
    <t>%</t>
  </si>
  <si>
    <t>mg/kg</t>
  </si>
  <si>
    <t>ppm</t>
  </si>
  <si>
    <t>g/cm³</t>
  </si>
  <si>
    <t>mm/hr</t>
  </si>
  <si>
    <t>mg CO2-C/kg/day</t>
  </si>
  <si>
    <t>worms/m²</t>
  </si>
  <si>
    <t>Optimal for nutrient availability &amp; microbial activity</t>
  </si>
  <si>
    <t>Low salinity desirable; above ~4 dS/m critical for most crops</t>
  </si>
  <si>
    <t>Improves soil structure, water retention, nutrient holding capacity</t>
  </si>
  <si>
    <t>Essential for growth; sandy soils lose N quickly</t>
  </si>
  <si>
    <t>Critical for root growth; deficiency common if &lt;10–15 ppm</t>
  </si>
  <si>
    <t>Important for water regulation and stress tolerance</t>
  </si>
  <si>
    <t>Structural role, soil aggregation, base saturation support</t>
  </si>
  <si>
    <t>Essential for chlorophyll, enzyme co-factors</t>
  </si>
  <si>
    <t>Important for protein synthesis and soil biology</t>
  </si>
  <si>
    <t>Often deficient in calcareous soils if low</t>
  </si>
  <si>
    <t>Critical for enzyme functions and hormone regulation</t>
  </si>
  <si>
    <t>Important for respiration and lignin formation</t>
  </si>
  <si>
    <t>Involved in photosynthesis and N metabolism</t>
  </si>
  <si>
    <t>Narrow optimal range; important for reproductive growth</t>
  </si>
  <si>
    <t>Low SAR reduces risk of soil dispersion</t>
  </si>
  <si>
    <t>Low ESP safeguards structure and permeability</t>
  </si>
  <si>
    <t>Balances porosity and root penetration for sandy soils</t>
  </si>
  <si>
    <t>High infiltration avoids runoff and supports water supply</t>
  </si>
  <si>
    <t>Indicator of microbial activity and OM decomposition</t>
  </si>
  <si>
    <t>Reflects living microbial pool for nutrient cycling</t>
  </si>
  <si>
    <t>Indicator of soil life, structure, aeration</t>
  </si>
  <si>
    <t>Value</t>
  </si>
  <si>
    <t>Score</t>
  </si>
  <si>
    <t>g/</t>
  </si>
  <si>
    <t>Soil Respiration (CO₂-C, mg CO₂-C/kg/day)</t>
  </si>
  <si>
    <t>Indicator</t>
  </si>
  <si>
    <t>Global Importance Notes</t>
  </si>
  <si>
    <t>PHYSICAL</t>
  </si>
  <si>
    <t>Soil Texture (% Sand/Silt/Clay)</t>
  </si>
  <si>
    <t>-</t>
  </si>
  <si>
    <t>Determines water holding, aeration, root penetration; base physical property</t>
  </si>
  <si>
    <t>Bulk Density</t>
  </si>
  <si>
    <t>Lower BD indicates good structure, porosity, and root penetration</t>
  </si>
  <si>
    <t>Aggregate Stability</t>
  </si>
  <si>
    <t>&gt;60</t>
  </si>
  <si>
    <t>High stability prevents erosion, improves water infiltration</t>
  </si>
  <si>
    <t>Infiltration Rate</t>
  </si>
  <si>
    <t>High infiltration avoids runoff and improves water availability</t>
  </si>
  <si>
    <t>Compaction / Penetration Resistance</t>
  </si>
  <si>
    <t>kPa</t>
  </si>
  <si>
    <t>&lt;200</t>
  </si>
  <si>
    <t>Low compaction allows better root growth and microbial habitat</t>
  </si>
  <si>
    <t>Available Water Capacity</t>
  </si>
  <si>
    <t>&gt;15</t>
  </si>
  <si>
    <t>High AWC supports crop production and resilience to drought</t>
  </si>
  <si>
    <t>CHEMICAL</t>
  </si>
  <si>
    <t>Soil pH (H2O or paste)</t>
  </si>
  <si>
    <t>Central regulator of nutrient availability &amp; microbial functioning</t>
  </si>
  <si>
    <t>Electrical Conductivity (ECe)</t>
  </si>
  <si>
    <t>Reflects salinity; high EC reduces plant growth</t>
  </si>
  <si>
    <t>Organic Matter (OM %)</t>
  </si>
  <si>
    <t>Key driver of structure, CEC, biology, carbon storage</t>
  </si>
  <si>
    <t>CEC (Cation Exchange Capacity)</t>
  </si>
  <si>
    <t>cmolc/kg</t>
  </si>
  <si>
    <t>&gt;10</t>
  </si>
  <si>
    <t>Higher CEC improves nutrient retention</t>
  </si>
  <si>
    <t>Base Saturation (%)</t>
  </si>
  <si>
    <t>Reflects balance of Ca/Mg/K and soil buffering capacity</t>
  </si>
  <si>
    <t>Available Nitrogen (N)</t>
  </si>
  <si>
    <t>Primary nutrient for growth; sensitive to losses</t>
  </si>
  <si>
    <t>Available Phosphorus (P)</t>
  </si>
  <si>
    <t>Critical for roots and energy transfer</t>
  </si>
  <si>
    <t>Available Potassium (K)</t>
  </si>
  <si>
    <t>Controls stomatal regulation and stress tolerance</t>
  </si>
  <si>
    <t>Calcium (Ca²⁺)</t>
  </si>
  <si>
    <t>Supports structure, root signaling, aggregation</t>
  </si>
  <si>
    <t>Magnesium (Mg²⁺)</t>
  </si>
  <si>
    <t>Chlorophyll core element; enzyme activation</t>
  </si>
  <si>
    <t>Sulfur (SO₄–S)</t>
  </si>
  <si>
    <t>Important for proteins, amino acids</t>
  </si>
  <si>
    <t>Micronutrient – Iron (Fe)</t>
  </si>
  <si>
    <t>&gt;4.5</t>
  </si>
  <si>
    <t>Vital for chlorophyll synthesis</t>
  </si>
  <si>
    <t>Micronutrient – Zinc (Zn)</t>
  </si>
  <si>
    <t>&gt;1.0</t>
  </si>
  <si>
    <t>Enzymatic functions &amp; growth hormones</t>
  </si>
  <si>
    <t>Micronutrient – Copper (Cu)</t>
  </si>
  <si>
    <t>&gt;0.5</t>
  </si>
  <si>
    <t>Respiration &amp; lignin formation</t>
  </si>
  <si>
    <t>Micronutrient – Manganese (Mn)</t>
  </si>
  <si>
    <t>&gt;5.0</t>
  </si>
  <si>
    <t>Photosynthesis &amp; metabolism</t>
  </si>
  <si>
    <t>Micronutrient – Boron (B)</t>
  </si>
  <si>
    <t>Reproductive development; narrow optimum</t>
  </si>
  <si>
    <t>Affects soil structure &amp; permeability</t>
  </si>
  <si>
    <t>High ESP causes dispersion &amp; sealing</t>
  </si>
  <si>
    <t>BIOLOGICAL</t>
  </si>
  <si>
    <t>Microbial Biomass Carbon</t>
  </si>
  <si>
    <t>&gt;250</t>
  </si>
  <si>
    <t>Indicator of active microbial pool</t>
  </si>
  <si>
    <t>Soil Respiration (CO₂-C)</t>
  </si>
  <si>
    <t>mg CO₂-C/kg/day</t>
  </si>
  <si>
    <t>&gt;40</t>
  </si>
  <si>
    <t>Measures metabolic activity and OM turnover</t>
  </si>
  <si>
    <t>Enzymatic Activity (e.g., DHA, phosphatase)</t>
  </si>
  <si>
    <t>unit</t>
  </si>
  <si>
    <t>High</t>
  </si>
  <si>
    <t>Reflects nutrient cycling efficiency</t>
  </si>
  <si>
    <t>Active Carbon (POXC)</t>
  </si>
  <si>
    <t>&gt;500</t>
  </si>
  <si>
    <t>Highly sensitive indicator of management impact</t>
  </si>
  <si>
    <t>Total Organic Carbon (SOC %)</t>
  </si>
  <si>
    <t>&gt;1.5</t>
  </si>
  <si>
    <t>Long-term soil carbon reservoir; resilience indicator</t>
  </si>
  <si>
    <t>Fungal:Bacterial Ratio</t>
  </si>
  <si>
    <t>ratio</t>
  </si>
  <si>
    <t>&gt;0.3</t>
  </si>
  <si>
    <t>Indicates stability in low-disturbance systems</t>
  </si>
  <si>
    <t>Earthworm Count</t>
  </si>
  <si>
    <t>Macrofauna indicator of soil life, aeration &amp; structure</t>
  </si>
  <si>
    <t>Root Health Score</t>
  </si>
  <si>
    <t>0–10</t>
  </si>
  <si>
    <t>&gt;7</t>
  </si>
  <si>
    <t>Visual measure of disease suppression &amp; functional rooting</t>
  </si>
  <si>
    <t>Score_5_range</t>
  </si>
  <si>
    <t>Score_4_range</t>
  </si>
  <si>
    <t>Score_3_range</t>
  </si>
  <si>
    <t>Score_2_range</t>
  </si>
  <si>
    <t>Score_1_range</t>
  </si>
  <si>
    <t>loam, silt loam, clay loam, sandy clay loam</t>
  </si>
  <si>
    <t>sandy loam, silt, silty clay loam</t>
  </si>
  <si>
    <t>sandy clay, silty clay, clay</t>
  </si>
  <si>
    <t>loamy sand</t>
  </si>
  <si>
    <t>sand / very heavy clay / peat (class-based)</t>
  </si>
  <si>
    <t>1.1–1.3</t>
  </si>
  <si>
    <t>1.3–1.4</t>
  </si>
  <si>
    <t>1.4–1.5</t>
  </si>
  <si>
    <t>1.5–1.6</t>
  </si>
  <si>
    <t>&gt;1.6</t>
  </si>
  <si>
    <t>≥70</t>
  </si>
  <si>
    <t>60–70</t>
  </si>
  <si>
    <t>40–60</t>
  </si>
  <si>
    <t>20–40</t>
  </si>
  <si>
    <t>&lt;20</t>
  </si>
  <si>
    <t>≥25</t>
  </si>
  <si>
    <t>15–25</t>
  </si>
  <si>
    <t>5–15</t>
  </si>
  <si>
    <t>1–5</t>
  </si>
  <si>
    <t>&lt;1</t>
  </si>
  <si>
    <t>200–400</t>
  </si>
  <si>
    <t>400–600</t>
  </si>
  <si>
    <t>600–800</t>
  </si>
  <si>
    <t>&gt;800</t>
  </si>
  <si>
    <t>&gt;20</t>
  </si>
  <si>
    <t>15–20</t>
  </si>
  <si>
    <t>10–15</t>
  </si>
  <si>
    <t>5–10</t>
  </si>
  <si>
    <t>&lt;5</t>
  </si>
  <si>
    <t>6.5–7.0</t>
  </si>
  <si>
    <t>6.0–6.5 and 7.0–7.5</t>
  </si>
  <si>
    <t>5.5–6.0 and 7.5–8.0</t>
  </si>
  <si>
    <t>5.0–5.5 and 8.0–8.5</t>
  </si>
  <si>
    <t>&lt;5.0 or &gt;8.5</t>
  </si>
  <si>
    <t>0–2</t>
  </si>
  <si>
    <t>2–4</t>
  </si>
  <si>
    <t>4–8</t>
  </si>
  <si>
    <t>8–16</t>
  </si>
  <si>
    <t>&gt;16</t>
  </si>
  <si>
    <t>3–6</t>
  </si>
  <si>
    <t>2–3 and 6–8</t>
  </si>
  <si>
    <t>1–2</t>
  </si>
  <si>
    <t>0.5–1</t>
  </si>
  <si>
    <t>&lt;0.5</t>
  </si>
  <si>
    <t>15–40</t>
  </si>
  <si>
    <t>3–5</t>
  </si>
  <si>
    <t>&lt;3</t>
  </si>
  <si>
    <t>60–80</t>
  </si>
  <si>
    <t>50–60 and 80–90</t>
  </si>
  <si>
    <t>40–50</t>
  </si>
  <si>
    <t>30–40</t>
  </si>
  <si>
    <t>&lt;30 or &gt;90</t>
  </si>
  <si>
    <t>25–50</t>
  </si>
  <si>
    <t>&lt;5 or &gt;50</t>
  </si>
  <si>
    <t>15–30</t>
  </si>
  <si>
    <t>10–15 and 30–40</t>
  </si>
  <si>
    <t>&lt;3 or &gt;40</t>
  </si>
  <si>
    <t>120–200</t>
  </si>
  <si>
    <t>80–120 and 200–250</t>
  </si>
  <si>
    <t>&lt;40 or &gt;250</t>
  </si>
  <si>
    <t>1000–2000</t>
  </si>
  <si>
    <t>800–1000 and 2000–2500</t>
  </si>
  <si>
    <t>&lt;400 or &gt;2500</t>
  </si>
  <si>
    <t>120–240</t>
  </si>
  <si>
    <t>80–120 and 240–300</t>
  </si>
  <si>
    <t>&lt;40 or &gt;300</t>
  </si>
  <si>
    <t>10–20</t>
  </si>
  <si>
    <t>7–10 and 20–30</t>
  </si>
  <si>
    <t>5–7</t>
  </si>
  <si>
    <t>&lt;3 or &gt;30</t>
  </si>
  <si>
    <t>&gt;6</t>
  </si>
  <si>
    <t>4.5–6</t>
  </si>
  <si>
    <t>3–4.5</t>
  </si>
  <si>
    <t>1–3</t>
  </si>
  <si>
    <t>1.0–1.5</t>
  </si>
  <si>
    <t>0.7–1.0</t>
  </si>
  <si>
    <t>0.5–0.7</t>
  </si>
  <si>
    <t>&gt;0.8</t>
  </si>
  <si>
    <t>0.5–0.8</t>
  </si>
  <si>
    <t>0.3–0.5</t>
  </si>
  <si>
    <t>0.1–0.3</t>
  </si>
  <si>
    <t>&lt;0.1</t>
  </si>
  <si>
    <t>&gt;8</t>
  </si>
  <si>
    <t>5–8</t>
  </si>
  <si>
    <t>0.5–1.0</t>
  </si>
  <si>
    <t>0.3–0.5 and 1.0–1.5</t>
  </si>
  <si>
    <t>0.2–0.3</t>
  </si>
  <si>
    <t>0.1–0.2</t>
  </si>
  <si>
    <t>&lt;0.1 or &gt;1.5</t>
  </si>
  <si>
    <t>0–3</t>
  </si>
  <si>
    <t>6–13</t>
  </si>
  <si>
    <t>13–20</t>
  </si>
  <si>
    <t>6–15</t>
  </si>
  <si>
    <t>&gt;25</t>
  </si>
  <si>
    <t>250–500</t>
  </si>
  <si>
    <t>150–250</t>
  </si>
  <si>
    <t>50–150</t>
  </si>
  <si>
    <t>&lt;50</t>
  </si>
  <si>
    <t>&lt;10</t>
  </si>
  <si>
    <t>&gt;75th percentile of local dataset</t>
  </si>
  <si>
    <t>50–75th percentile</t>
  </si>
  <si>
    <t>25–50th percentile</t>
  </si>
  <si>
    <t>10–25th percentile</t>
  </si>
  <si>
    <t>&lt;10th percentile</t>
  </si>
  <si>
    <t>&gt;700</t>
  </si>
  <si>
    <t>500–700</t>
  </si>
  <si>
    <t>300–500</t>
  </si>
  <si>
    <t>150–300</t>
  </si>
  <si>
    <t>&lt;150</t>
  </si>
  <si>
    <t>&gt;2.0</t>
  </si>
  <si>
    <t>1.5–2.0</t>
  </si>
  <si>
    <t>8–10</t>
  </si>
  <si>
    <t>6–8</t>
  </si>
  <si>
    <t>4–6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</si>
</sst>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H2" sqref="H2"/>
    </sheetView>
  </sheetViews>
  <sheetFormatPr defaultRowHeight="14.5" x14ac:dyDescent="0.35"/>
  <cols>
    <col min="1" max="1" width="18.36328125" bestFit="1" customWidth="1"/>
    <col min="2" max="2" width="35.90625" bestFit="1" customWidth="1"/>
    <col min="3" max="3" width="15.54296875" bestFit="1" customWidth="1"/>
    <col min="4" max="4" width="13.08984375" bestFit="1" customWidth="1"/>
    <col min="5" max="5" width="13.453125" bestFit="1" customWidth="1"/>
    <col min="6" max="6" width="10.453125" bestFit="1" customWidth="1"/>
    <col min="7" max="7" width="56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14</v>
      </c>
      <c r="D2">
        <v>6</v>
      </c>
      <c r="E2">
        <v>7.5</v>
      </c>
      <c r="F2">
        <v>10</v>
      </c>
      <c r="G2" t="s">
        <v>43</v>
      </c>
    </row>
    <row r="3" spans="1:7" x14ac:dyDescent="0.35">
      <c r="A3" t="s">
        <v>7</v>
      </c>
      <c r="B3" t="s">
        <v>15</v>
      </c>
      <c r="C3" t="s">
        <v>35</v>
      </c>
      <c r="D3">
        <v>0</v>
      </c>
      <c r="E3">
        <v>2</v>
      </c>
      <c r="F3">
        <v>8</v>
      </c>
      <c r="G3" t="s">
        <v>44</v>
      </c>
    </row>
    <row r="4" spans="1:7" x14ac:dyDescent="0.35">
      <c r="A4" t="s">
        <v>7</v>
      </c>
      <c r="B4" t="s">
        <v>16</v>
      </c>
      <c r="C4" t="s">
        <v>36</v>
      </c>
      <c r="D4">
        <v>3</v>
      </c>
      <c r="E4">
        <v>6</v>
      </c>
      <c r="F4">
        <v>12</v>
      </c>
      <c r="G4" t="s">
        <v>45</v>
      </c>
    </row>
    <row r="5" spans="1:7" x14ac:dyDescent="0.35">
      <c r="A5" t="s">
        <v>8</v>
      </c>
      <c r="B5" t="s">
        <v>17</v>
      </c>
      <c r="C5" t="s">
        <v>37</v>
      </c>
      <c r="D5">
        <v>20</v>
      </c>
      <c r="E5">
        <v>50</v>
      </c>
      <c r="F5">
        <v>10</v>
      </c>
      <c r="G5" t="s">
        <v>46</v>
      </c>
    </row>
    <row r="6" spans="1:7" x14ac:dyDescent="0.35">
      <c r="A6" t="s">
        <v>8</v>
      </c>
      <c r="B6" t="s">
        <v>18</v>
      </c>
      <c r="C6" t="s">
        <v>37</v>
      </c>
      <c r="D6">
        <v>15</v>
      </c>
      <c r="E6">
        <v>30</v>
      </c>
      <c r="F6">
        <v>10</v>
      </c>
      <c r="G6" t="s">
        <v>47</v>
      </c>
    </row>
    <row r="7" spans="1:7" x14ac:dyDescent="0.35">
      <c r="A7" t="s">
        <v>8</v>
      </c>
      <c r="B7" t="s">
        <v>19</v>
      </c>
      <c r="C7" t="s">
        <v>37</v>
      </c>
      <c r="D7">
        <v>100</v>
      </c>
      <c r="E7">
        <v>200</v>
      </c>
      <c r="F7">
        <v>10</v>
      </c>
      <c r="G7" t="s">
        <v>48</v>
      </c>
    </row>
    <row r="8" spans="1:7" x14ac:dyDescent="0.35">
      <c r="A8" t="s">
        <v>9</v>
      </c>
      <c r="B8" t="s">
        <v>20</v>
      </c>
      <c r="C8" t="s">
        <v>38</v>
      </c>
      <c r="D8">
        <v>1000</v>
      </c>
      <c r="E8">
        <v>2000</v>
      </c>
      <c r="F8">
        <v>3</v>
      </c>
      <c r="G8" t="s">
        <v>49</v>
      </c>
    </row>
    <row r="9" spans="1:7" x14ac:dyDescent="0.35">
      <c r="A9" t="s">
        <v>9</v>
      </c>
      <c r="B9" t="s">
        <v>21</v>
      </c>
      <c r="C9" t="s">
        <v>38</v>
      </c>
      <c r="D9">
        <v>120</v>
      </c>
      <c r="E9">
        <v>240</v>
      </c>
      <c r="F9">
        <v>3</v>
      </c>
      <c r="G9" t="s">
        <v>50</v>
      </c>
    </row>
    <row r="10" spans="1:7" x14ac:dyDescent="0.35">
      <c r="A10" t="s">
        <v>9</v>
      </c>
      <c r="B10" t="s">
        <v>22</v>
      </c>
      <c r="C10" t="s">
        <v>37</v>
      </c>
      <c r="D10">
        <v>10</v>
      </c>
      <c r="E10">
        <v>20</v>
      </c>
      <c r="F10">
        <v>4</v>
      </c>
      <c r="G10" t="s">
        <v>51</v>
      </c>
    </row>
    <row r="11" spans="1:7" x14ac:dyDescent="0.35">
      <c r="A11" t="s">
        <v>10</v>
      </c>
      <c r="B11" t="s">
        <v>23</v>
      </c>
      <c r="C11" t="s">
        <v>37</v>
      </c>
      <c r="D11">
        <v>4.5</v>
      </c>
      <c r="F11">
        <v>2</v>
      </c>
      <c r="G11" t="s">
        <v>52</v>
      </c>
    </row>
    <row r="12" spans="1:7" x14ac:dyDescent="0.35">
      <c r="A12" t="s">
        <v>10</v>
      </c>
      <c r="B12" t="s">
        <v>24</v>
      </c>
      <c r="C12" t="s">
        <v>37</v>
      </c>
      <c r="D12">
        <v>1</v>
      </c>
      <c r="F12">
        <v>2</v>
      </c>
      <c r="G12" t="s">
        <v>53</v>
      </c>
    </row>
    <row r="13" spans="1:7" x14ac:dyDescent="0.35">
      <c r="A13" t="s">
        <v>10</v>
      </c>
      <c r="B13" t="s">
        <v>25</v>
      </c>
      <c r="C13" t="s">
        <v>37</v>
      </c>
      <c r="D13">
        <v>0.5</v>
      </c>
      <c r="F13">
        <v>2</v>
      </c>
      <c r="G13" t="s">
        <v>54</v>
      </c>
    </row>
    <row r="14" spans="1:7" x14ac:dyDescent="0.35">
      <c r="A14" t="s">
        <v>10</v>
      </c>
      <c r="B14" t="s">
        <v>26</v>
      </c>
      <c r="C14" t="s">
        <v>37</v>
      </c>
      <c r="D14">
        <v>5</v>
      </c>
      <c r="F14">
        <v>2</v>
      </c>
      <c r="G14" t="s">
        <v>55</v>
      </c>
    </row>
    <row r="15" spans="1:7" x14ac:dyDescent="0.35">
      <c r="A15" t="s">
        <v>10</v>
      </c>
      <c r="B15" t="s">
        <v>27</v>
      </c>
      <c r="C15" t="s">
        <v>37</v>
      </c>
      <c r="D15">
        <v>0.5</v>
      </c>
      <c r="E15">
        <v>1</v>
      </c>
      <c r="F15">
        <v>2</v>
      </c>
      <c r="G15" t="s">
        <v>56</v>
      </c>
    </row>
    <row r="16" spans="1:7" x14ac:dyDescent="0.35">
      <c r="A16" t="s">
        <v>11</v>
      </c>
      <c r="B16" t="s">
        <v>28</v>
      </c>
      <c r="E16">
        <v>6</v>
      </c>
      <c r="F16">
        <v>5</v>
      </c>
      <c r="G16" t="s">
        <v>57</v>
      </c>
    </row>
    <row r="17" spans="1:7" x14ac:dyDescent="0.35">
      <c r="A17" t="s">
        <v>11</v>
      </c>
      <c r="B17" t="s">
        <v>29</v>
      </c>
      <c r="C17" t="s">
        <v>36</v>
      </c>
      <c r="E17">
        <v>6</v>
      </c>
      <c r="F17">
        <v>5</v>
      </c>
      <c r="G17" t="s">
        <v>58</v>
      </c>
    </row>
    <row r="18" spans="1:7" x14ac:dyDescent="0.35">
      <c r="A18" t="s">
        <v>12</v>
      </c>
      <c r="B18" t="s">
        <v>30</v>
      </c>
      <c r="C18" t="s">
        <v>39</v>
      </c>
      <c r="D18">
        <v>1.1000000000000001</v>
      </c>
      <c r="E18">
        <v>1.4</v>
      </c>
      <c r="F18">
        <v>5</v>
      </c>
      <c r="G18" t="s">
        <v>59</v>
      </c>
    </row>
    <row r="19" spans="1:7" x14ac:dyDescent="0.35">
      <c r="A19" t="s">
        <v>12</v>
      </c>
      <c r="B19" t="s">
        <v>31</v>
      </c>
      <c r="C19" t="s">
        <v>40</v>
      </c>
      <c r="D19">
        <v>15</v>
      </c>
      <c r="F19">
        <v>5</v>
      </c>
      <c r="G19" t="s">
        <v>60</v>
      </c>
    </row>
    <row r="20" spans="1:7" x14ac:dyDescent="0.35">
      <c r="A20" t="s">
        <v>13</v>
      </c>
      <c r="B20" t="s">
        <v>32</v>
      </c>
      <c r="C20" t="s">
        <v>41</v>
      </c>
      <c r="D20">
        <v>40</v>
      </c>
      <c r="F20">
        <v>4</v>
      </c>
      <c r="G20" t="s">
        <v>61</v>
      </c>
    </row>
    <row r="21" spans="1:7" x14ac:dyDescent="0.35">
      <c r="A21" t="s">
        <v>13</v>
      </c>
      <c r="B21" t="s">
        <v>33</v>
      </c>
      <c r="C21" t="s">
        <v>37</v>
      </c>
      <c r="D21">
        <v>250</v>
      </c>
      <c r="F21">
        <v>4</v>
      </c>
      <c r="G21" t="s">
        <v>62</v>
      </c>
    </row>
    <row r="22" spans="1:7" x14ac:dyDescent="0.35">
      <c r="A22" t="s">
        <v>13</v>
      </c>
      <c r="B22" t="s">
        <v>34</v>
      </c>
      <c r="C22" t="s">
        <v>42</v>
      </c>
      <c r="D22">
        <v>10</v>
      </c>
      <c r="F22">
        <v>2</v>
      </c>
      <c r="G22" t="s">
        <v>63</v>
      </c>
    </row>
    <row r="24" spans="1:7" x14ac:dyDescent="0.35">
      <c r="F24">
        <f>SUM(F2:F22)</f>
        <v>110</v>
      </c>
    </row>
  </sheetData>
  <pageMargins left="0.7" right="0.7" top="0.75" bottom="0.75" header="0.3" footer="0.3"/>
  <headerFooter>
    <oddFooter>&amp;C_x000D_&amp;1#&amp;"Aptos"&amp;8&amp;K000000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selection sqref="A1:I24"/>
    </sheetView>
  </sheetViews>
  <sheetFormatPr defaultRowHeight="14.5" x14ac:dyDescent="0.35"/>
  <cols>
    <col min="1" max="1" width="18.36328125" bestFit="1" customWidth="1"/>
    <col min="2" max="2" width="35.90625" bestFit="1" customWidth="1"/>
    <col min="3" max="3" width="5.54296875" bestFit="1" customWidth="1"/>
    <col min="4" max="4" width="15.54296875" bestFit="1" customWidth="1"/>
    <col min="5" max="5" width="13.08984375" bestFit="1" customWidth="1"/>
    <col min="6" max="6" width="13.453125" bestFit="1" customWidth="1"/>
    <col min="7" max="7" width="10.453125" bestFit="1" customWidth="1"/>
    <col min="8" max="8" width="56.26953125" bestFit="1" customWidth="1"/>
    <col min="9" max="9" width="5.36328125" bestFit="1" customWidth="1"/>
  </cols>
  <sheetData>
    <row r="1" spans="1:9" x14ac:dyDescent="0.35">
      <c r="A1" s="1" t="s">
        <v>0</v>
      </c>
      <c r="B1" s="1" t="s">
        <v>1</v>
      </c>
      <c r="C1" s="1" t="s">
        <v>64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65</v>
      </c>
    </row>
    <row r="2" spans="1:9" x14ac:dyDescent="0.35">
      <c r="A2" t="s">
        <v>7</v>
      </c>
      <c r="B2" t="s">
        <v>14</v>
      </c>
      <c r="E2">
        <v>6</v>
      </c>
      <c r="F2">
        <v>7.5</v>
      </c>
      <c r="G2">
        <v>10</v>
      </c>
      <c r="H2" t="s">
        <v>43</v>
      </c>
      <c r="I2">
        <f>IF(AND(ISNUMBER(D2),ISNUMBER(E2)),IF(AND(C2&lt;&gt;"",C2&gt;=D2,C2&lt;=E2),F2,0),IF(ISNUMBER(D2),IF(C2&gt;=D2,F2,0),IF(ISNUMBER(E2),IF(C2&lt;=E2,F2,0),"")))</f>
        <v>7.5</v>
      </c>
    </row>
    <row r="3" spans="1:9" x14ac:dyDescent="0.35">
      <c r="A3" t="s">
        <v>7</v>
      </c>
      <c r="B3" t="s">
        <v>15</v>
      </c>
      <c r="D3" t="s">
        <v>35</v>
      </c>
      <c r="E3">
        <v>0</v>
      </c>
      <c r="F3">
        <v>2</v>
      </c>
      <c r="G3">
        <v>8</v>
      </c>
      <c r="H3" t="s">
        <v>44</v>
      </c>
      <c r="I3">
        <f t="shared" ref="I3:I22" si="0">IF(AND(ISNUMBER(D3),ISNUMBER(E3)),IF(AND(C3&lt;&gt;"",C3&gt;=D3,C3&lt;=E3),F3,0),IF(ISNUMBER(D3),IF(C3&gt;=D3,F3,0),IF(ISNUMBER(E3),IF(C3&lt;=E3,F3,0),"")))</f>
        <v>2</v>
      </c>
    </row>
    <row r="4" spans="1:9" x14ac:dyDescent="0.35">
      <c r="A4" t="s">
        <v>7</v>
      </c>
      <c r="B4" t="s">
        <v>16</v>
      </c>
      <c r="D4" t="s">
        <v>36</v>
      </c>
      <c r="E4">
        <v>3</v>
      </c>
      <c r="F4">
        <v>6</v>
      </c>
      <c r="G4">
        <v>12</v>
      </c>
      <c r="H4" t="s">
        <v>45</v>
      </c>
      <c r="I4">
        <f t="shared" si="0"/>
        <v>6</v>
      </c>
    </row>
    <row r="5" spans="1:9" x14ac:dyDescent="0.35">
      <c r="A5" t="s">
        <v>8</v>
      </c>
      <c r="B5" t="s">
        <v>17</v>
      </c>
      <c r="D5" t="s">
        <v>37</v>
      </c>
      <c r="E5">
        <v>20</v>
      </c>
      <c r="F5">
        <v>50</v>
      </c>
      <c r="G5">
        <v>10</v>
      </c>
      <c r="H5" t="s">
        <v>46</v>
      </c>
      <c r="I5">
        <f t="shared" si="0"/>
        <v>50</v>
      </c>
    </row>
    <row r="6" spans="1:9" x14ac:dyDescent="0.35">
      <c r="A6" t="s">
        <v>8</v>
      </c>
      <c r="B6" t="s">
        <v>18</v>
      </c>
      <c r="D6" t="s">
        <v>37</v>
      </c>
      <c r="E6">
        <v>15</v>
      </c>
      <c r="F6">
        <v>30</v>
      </c>
      <c r="G6">
        <v>10</v>
      </c>
      <c r="H6" t="s">
        <v>47</v>
      </c>
      <c r="I6">
        <f t="shared" si="0"/>
        <v>30</v>
      </c>
    </row>
    <row r="7" spans="1:9" x14ac:dyDescent="0.35">
      <c r="A7" t="s">
        <v>8</v>
      </c>
      <c r="B7" t="s">
        <v>19</v>
      </c>
      <c r="D7" t="s">
        <v>37</v>
      </c>
      <c r="E7">
        <v>100</v>
      </c>
      <c r="F7">
        <v>200</v>
      </c>
      <c r="G7">
        <v>10</v>
      </c>
      <c r="H7" t="s">
        <v>48</v>
      </c>
      <c r="I7">
        <f t="shared" si="0"/>
        <v>200</v>
      </c>
    </row>
    <row r="8" spans="1:9" x14ac:dyDescent="0.35">
      <c r="A8" t="s">
        <v>9</v>
      </c>
      <c r="B8" t="s">
        <v>20</v>
      </c>
      <c r="D8" t="s">
        <v>38</v>
      </c>
      <c r="E8">
        <v>1000</v>
      </c>
      <c r="F8">
        <v>2000</v>
      </c>
      <c r="G8">
        <v>3</v>
      </c>
      <c r="H8" t="s">
        <v>49</v>
      </c>
      <c r="I8">
        <f t="shared" si="0"/>
        <v>2000</v>
      </c>
    </row>
    <row r="9" spans="1:9" x14ac:dyDescent="0.35">
      <c r="A9" t="s">
        <v>9</v>
      </c>
      <c r="B9" t="s">
        <v>21</v>
      </c>
      <c r="D9" t="s">
        <v>38</v>
      </c>
      <c r="E9">
        <v>120</v>
      </c>
      <c r="F9">
        <v>240</v>
      </c>
      <c r="G9">
        <v>3</v>
      </c>
      <c r="H9" t="s">
        <v>50</v>
      </c>
      <c r="I9">
        <f t="shared" si="0"/>
        <v>240</v>
      </c>
    </row>
    <row r="10" spans="1:9" x14ac:dyDescent="0.35">
      <c r="A10" t="s">
        <v>9</v>
      </c>
      <c r="B10" t="s">
        <v>22</v>
      </c>
      <c r="D10" t="s">
        <v>37</v>
      </c>
      <c r="E10">
        <v>10</v>
      </c>
      <c r="F10">
        <v>20</v>
      </c>
      <c r="G10">
        <v>4</v>
      </c>
      <c r="H10" t="s">
        <v>51</v>
      </c>
      <c r="I10">
        <f t="shared" si="0"/>
        <v>20</v>
      </c>
    </row>
    <row r="11" spans="1:9" x14ac:dyDescent="0.35">
      <c r="A11" t="s">
        <v>10</v>
      </c>
      <c r="B11" t="s">
        <v>23</v>
      </c>
      <c r="D11" t="s">
        <v>37</v>
      </c>
      <c r="E11">
        <v>4.5</v>
      </c>
      <c r="G11">
        <v>2</v>
      </c>
      <c r="H11" t="s">
        <v>52</v>
      </c>
      <c r="I11">
        <f t="shared" si="0"/>
        <v>0</v>
      </c>
    </row>
    <row r="12" spans="1:9" x14ac:dyDescent="0.35">
      <c r="A12" t="s">
        <v>10</v>
      </c>
      <c r="B12" t="s">
        <v>24</v>
      </c>
      <c r="D12" t="s">
        <v>37</v>
      </c>
      <c r="E12">
        <v>1</v>
      </c>
      <c r="G12">
        <v>2</v>
      </c>
      <c r="H12" t="s">
        <v>53</v>
      </c>
      <c r="I12">
        <f t="shared" si="0"/>
        <v>0</v>
      </c>
    </row>
    <row r="13" spans="1:9" x14ac:dyDescent="0.35">
      <c r="A13" t="s">
        <v>10</v>
      </c>
      <c r="B13" t="s">
        <v>25</v>
      </c>
      <c r="D13" t="s">
        <v>37</v>
      </c>
      <c r="E13">
        <v>0.5</v>
      </c>
      <c r="G13">
        <v>2</v>
      </c>
      <c r="H13" t="s">
        <v>54</v>
      </c>
      <c r="I13">
        <f t="shared" si="0"/>
        <v>0</v>
      </c>
    </row>
    <row r="14" spans="1:9" x14ac:dyDescent="0.35">
      <c r="A14" t="s">
        <v>10</v>
      </c>
      <c r="B14" t="s">
        <v>26</v>
      </c>
      <c r="D14" t="s">
        <v>37</v>
      </c>
      <c r="E14">
        <v>5</v>
      </c>
      <c r="G14">
        <v>2</v>
      </c>
      <c r="H14" t="s">
        <v>55</v>
      </c>
      <c r="I14">
        <f t="shared" si="0"/>
        <v>0</v>
      </c>
    </row>
    <row r="15" spans="1:9" x14ac:dyDescent="0.35">
      <c r="A15" t="s">
        <v>10</v>
      </c>
      <c r="B15" t="s">
        <v>27</v>
      </c>
      <c r="D15" t="s">
        <v>37</v>
      </c>
      <c r="E15">
        <v>0.5</v>
      </c>
      <c r="F15">
        <v>1</v>
      </c>
      <c r="G15">
        <v>2</v>
      </c>
      <c r="H15" t="s">
        <v>56</v>
      </c>
      <c r="I15">
        <f t="shared" si="0"/>
        <v>1</v>
      </c>
    </row>
    <row r="16" spans="1:9" x14ac:dyDescent="0.35">
      <c r="A16" t="s">
        <v>11</v>
      </c>
      <c r="B16" t="s">
        <v>28</v>
      </c>
      <c r="F16">
        <v>6</v>
      </c>
      <c r="G16">
        <v>5</v>
      </c>
      <c r="H16" t="s">
        <v>57</v>
      </c>
      <c r="I16" t="str">
        <f t="shared" si="0"/>
        <v/>
      </c>
    </row>
    <row r="17" spans="1:9" x14ac:dyDescent="0.35">
      <c r="A17" t="s">
        <v>11</v>
      </c>
      <c r="B17" t="s">
        <v>29</v>
      </c>
      <c r="D17" t="s">
        <v>36</v>
      </c>
      <c r="F17">
        <v>6</v>
      </c>
      <c r="G17">
        <v>5</v>
      </c>
      <c r="H17" t="s">
        <v>58</v>
      </c>
      <c r="I17" t="str">
        <f t="shared" si="0"/>
        <v/>
      </c>
    </row>
    <row r="18" spans="1:9" x14ac:dyDescent="0.35">
      <c r="A18" t="s">
        <v>12</v>
      </c>
      <c r="B18" t="s">
        <v>30</v>
      </c>
      <c r="D18" t="s">
        <v>39</v>
      </c>
      <c r="E18">
        <v>1.1000000000000001</v>
      </c>
      <c r="F18">
        <v>1.4</v>
      </c>
      <c r="G18">
        <v>5</v>
      </c>
      <c r="H18" t="s">
        <v>59</v>
      </c>
      <c r="I18">
        <f t="shared" si="0"/>
        <v>1.4</v>
      </c>
    </row>
    <row r="19" spans="1:9" x14ac:dyDescent="0.35">
      <c r="A19" t="s">
        <v>12</v>
      </c>
      <c r="B19" t="s">
        <v>31</v>
      </c>
      <c r="D19" t="s">
        <v>40</v>
      </c>
      <c r="E19">
        <v>15</v>
      </c>
      <c r="G19">
        <v>5</v>
      </c>
      <c r="H19" t="s">
        <v>60</v>
      </c>
      <c r="I19">
        <f t="shared" si="0"/>
        <v>0</v>
      </c>
    </row>
    <row r="20" spans="1:9" x14ac:dyDescent="0.35">
      <c r="A20" t="s">
        <v>13</v>
      </c>
      <c r="B20" t="s">
        <v>32</v>
      </c>
      <c r="D20" t="s">
        <v>41</v>
      </c>
      <c r="E20">
        <v>40</v>
      </c>
      <c r="G20">
        <v>4</v>
      </c>
      <c r="H20" t="s">
        <v>61</v>
      </c>
      <c r="I20">
        <f t="shared" si="0"/>
        <v>0</v>
      </c>
    </row>
    <row r="21" spans="1:9" x14ac:dyDescent="0.35">
      <c r="A21" t="s">
        <v>13</v>
      </c>
      <c r="B21" t="s">
        <v>33</v>
      </c>
      <c r="D21" t="s">
        <v>37</v>
      </c>
      <c r="E21">
        <v>250</v>
      </c>
      <c r="G21">
        <v>4</v>
      </c>
      <c r="H21" t="s">
        <v>62</v>
      </c>
      <c r="I21">
        <f t="shared" si="0"/>
        <v>0</v>
      </c>
    </row>
    <row r="22" spans="1:9" x14ac:dyDescent="0.35">
      <c r="A22" t="s">
        <v>13</v>
      </c>
      <c r="B22" t="s">
        <v>34</v>
      </c>
      <c r="D22" t="s">
        <v>42</v>
      </c>
      <c r="E22">
        <v>10</v>
      </c>
      <c r="G22">
        <v>2</v>
      </c>
      <c r="H22" t="s">
        <v>63</v>
      </c>
      <c r="I22">
        <f t="shared" si="0"/>
        <v>0</v>
      </c>
    </row>
    <row r="24" spans="1:9" x14ac:dyDescent="0.35">
      <c r="G24">
        <f>SUM(G2:G22)</f>
        <v>110</v>
      </c>
    </row>
  </sheetData>
  <pageMargins left="0.7" right="0.7" top="0.75" bottom="0.75" header="0.3" footer="0.3"/>
  <headerFooter>
    <oddFooter>&amp;C_x000D_&amp;1#&amp;"Aptos"&amp;8&amp;K000000 Classification: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24DB-C177-4902-8D51-A17E84D338A5}">
  <dimension ref="A1:I31"/>
  <sheetViews>
    <sheetView workbookViewId="0">
      <selection activeCell="F24" sqref="F24"/>
    </sheetView>
  </sheetViews>
  <sheetFormatPr defaultRowHeight="14.5" x14ac:dyDescent="0.35"/>
  <cols>
    <col min="1" max="1" width="18.36328125" bestFit="1" customWidth="1"/>
    <col min="2" max="2" width="35.90625" bestFit="1" customWidth="1"/>
    <col min="3" max="3" width="5.453125" bestFit="1" customWidth="1"/>
    <col min="4" max="4" width="15.54296875" bestFit="1" customWidth="1"/>
    <col min="5" max="5" width="13" bestFit="1" customWidth="1"/>
    <col min="6" max="6" width="13.36328125" bestFit="1" customWidth="1"/>
    <col min="7" max="7" width="10.26953125" bestFit="1" customWidth="1"/>
    <col min="8" max="8" width="56.26953125" bestFit="1" customWidth="1"/>
  </cols>
  <sheetData>
    <row r="1" spans="1:9" x14ac:dyDescent="0.35">
      <c r="A1" t="s">
        <v>0</v>
      </c>
      <c r="B1" t="s">
        <v>1</v>
      </c>
      <c r="C1" t="s">
        <v>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65</v>
      </c>
    </row>
    <row r="2" spans="1:9" x14ac:dyDescent="0.35">
      <c r="A2" t="s">
        <v>7</v>
      </c>
      <c r="B2" t="s">
        <v>14</v>
      </c>
      <c r="C2">
        <v>7</v>
      </c>
      <c r="D2" t="s">
        <v>66</v>
      </c>
      <c r="E2">
        <v>6</v>
      </c>
      <c r="F2">
        <v>7.5</v>
      </c>
      <c r="G2">
        <v>8</v>
      </c>
      <c r="H2" t="s">
        <v>43</v>
      </c>
      <c r="I2">
        <f>IF(AND(ISNUMBER(E2),ISNUMBER(F2)),
     IF(AND(C2&lt;&gt;"",C2&gt;=E2,C2&lt;=F2),G2,0),
     IF(ISNUMBER(E2),
        IF(C2&gt;=E2,G2,0),
        IF(ISNUMBER(F2),
           IF(C2&lt;=F2,G2,0),
           ""
        )
     )
)</f>
        <v>8</v>
      </c>
    </row>
    <row r="3" spans="1:9" x14ac:dyDescent="0.35">
      <c r="A3" t="s">
        <v>7</v>
      </c>
      <c r="B3" t="s">
        <v>15</v>
      </c>
      <c r="C3">
        <v>1</v>
      </c>
      <c r="D3" t="s">
        <v>35</v>
      </c>
      <c r="E3">
        <v>0</v>
      </c>
      <c r="F3">
        <v>2</v>
      </c>
      <c r="G3">
        <v>7</v>
      </c>
      <c r="H3" t="s">
        <v>44</v>
      </c>
      <c r="I3">
        <f t="shared" ref="I3:I28" si="0">IF(AND(ISNUMBER(E3),ISNUMBER(F3)),
     IF(AND(C3&lt;&gt;"",C3&gt;=E3,C3&lt;=F3),G3,0),
     IF(ISNUMBER(E3),
        IF(C3&gt;=E3,G3,0),
        IF(ISNUMBER(F3),
           IF(C3&lt;=F3,G3,0),
           ""
        )
     )
)</f>
        <v>7</v>
      </c>
    </row>
    <row r="4" spans="1:9" x14ac:dyDescent="0.35">
      <c r="A4" t="s">
        <v>7</v>
      </c>
      <c r="B4" t="s">
        <v>16</v>
      </c>
      <c r="C4">
        <v>5</v>
      </c>
      <c r="D4" t="s">
        <v>36</v>
      </c>
      <c r="E4">
        <v>3</v>
      </c>
      <c r="F4">
        <v>6</v>
      </c>
      <c r="G4">
        <v>10</v>
      </c>
      <c r="H4" t="s">
        <v>45</v>
      </c>
      <c r="I4">
        <f t="shared" si="0"/>
        <v>10</v>
      </c>
    </row>
    <row r="5" spans="1:9" x14ac:dyDescent="0.35">
      <c r="I5" t="str">
        <f t="shared" si="0"/>
        <v/>
      </c>
    </row>
    <row r="6" spans="1:9" x14ac:dyDescent="0.35">
      <c r="A6" t="s">
        <v>8</v>
      </c>
      <c r="B6" t="s">
        <v>17</v>
      </c>
      <c r="C6">
        <v>25</v>
      </c>
      <c r="D6" t="s">
        <v>37</v>
      </c>
      <c r="E6">
        <v>20</v>
      </c>
      <c r="F6">
        <v>50</v>
      </c>
      <c r="G6">
        <v>10</v>
      </c>
      <c r="H6" t="s">
        <v>46</v>
      </c>
      <c r="I6">
        <f t="shared" si="0"/>
        <v>10</v>
      </c>
    </row>
    <row r="7" spans="1:9" x14ac:dyDescent="0.35">
      <c r="A7" t="s">
        <v>8</v>
      </c>
      <c r="B7" t="s">
        <v>18</v>
      </c>
      <c r="C7">
        <v>20</v>
      </c>
      <c r="D7" t="s">
        <v>37</v>
      </c>
      <c r="E7">
        <v>15</v>
      </c>
      <c r="F7">
        <v>30</v>
      </c>
      <c r="G7">
        <v>10</v>
      </c>
      <c r="H7" t="s">
        <v>47</v>
      </c>
      <c r="I7">
        <f t="shared" si="0"/>
        <v>10</v>
      </c>
    </row>
    <row r="8" spans="1:9" x14ac:dyDescent="0.35">
      <c r="A8" t="s">
        <v>8</v>
      </c>
      <c r="B8" t="s">
        <v>19</v>
      </c>
      <c r="C8">
        <v>150</v>
      </c>
      <c r="D8" t="s">
        <v>37</v>
      </c>
      <c r="E8">
        <v>100</v>
      </c>
      <c r="F8">
        <v>200</v>
      </c>
      <c r="G8">
        <v>10</v>
      </c>
      <c r="H8" t="s">
        <v>48</v>
      </c>
      <c r="I8">
        <f t="shared" si="0"/>
        <v>10</v>
      </c>
    </row>
    <row r="9" spans="1:9" x14ac:dyDescent="0.35">
      <c r="I9" t="str">
        <f t="shared" si="0"/>
        <v/>
      </c>
    </row>
    <row r="10" spans="1:9" x14ac:dyDescent="0.35">
      <c r="A10" t="s">
        <v>9</v>
      </c>
      <c r="B10" t="s">
        <v>20</v>
      </c>
      <c r="C10">
        <v>1000</v>
      </c>
      <c r="D10" t="s">
        <v>38</v>
      </c>
      <c r="E10">
        <v>1000</v>
      </c>
      <c r="F10">
        <v>2000</v>
      </c>
      <c r="G10">
        <v>3</v>
      </c>
      <c r="H10" t="s">
        <v>49</v>
      </c>
      <c r="I10">
        <f t="shared" si="0"/>
        <v>3</v>
      </c>
    </row>
    <row r="11" spans="1:9" x14ac:dyDescent="0.35">
      <c r="A11" t="s">
        <v>9</v>
      </c>
      <c r="B11" t="s">
        <v>21</v>
      </c>
      <c r="C11">
        <v>120</v>
      </c>
      <c r="D11" t="s">
        <v>38</v>
      </c>
      <c r="E11">
        <v>120</v>
      </c>
      <c r="F11">
        <v>240</v>
      </c>
      <c r="G11">
        <v>3</v>
      </c>
      <c r="H11" t="s">
        <v>50</v>
      </c>
      <c r="I11">
        <f t="shared" si="0"/>
        <v>3</v>
      </c>
    </row>
    <row r="12" spans="1:9" x14ac:dyDescent="0.35">
      <c r="A12" t="s">
        <v>9</v>
      </c>
      <c r="B12" t="s">
        <v>22</v>
      </c>
      <c r="C12">
        <v>15</v>
      </c>
      <c r="D12" t="s">
        <v>37</v>
      </c>
      <c r="E12">
        <v>10</v>
      </c>
      <c r="F12">
        <v>20</v>
      </c>
      <c r="G12">
        <v>2</v>
      </c>
      <c r="H12" t="s">
        <v>51</v>
      </c>
      <c r="I12">
        <f t="shared" si="0"/>
        <v>2</v>
      </c>
    </row>
    <row r="13" spans="1:9" x14ac:dyDescent="0.35">
      <c r="I13" t="str">
        <f t="shared" si="0"/>
        <v/>
      </c>
    </row>
    <row r="14" spans="1:9" x14ac:dyDescent="0.35">
      <c r="A14" t="s">
        <v>10</v>
      </c>
      <c r="B14" t="s">
        <v>23</v>
      </c>
      <c r="C14">
        <v>5</v>
      </c>
      <c r="D14" t="s">
        <v>37</v>
      </c>
      <c r="E14">
        <v>4.5</v>
      </c>
      <c r="F14">
        <v>50</v>
      </c>
      <c r="G14">
        <v>2</v>
      </c>
      <c r="H14" t="s">
        <v>52</v>
      </c>
      <c r="I14">
        <f t="shared" si="0"/>
        <v>2</v>
      </c>
    </row>
    <row r="15" spans="1:9" x14ac:dyDescent="0.35">
      <c r="A15" t="s">
        <v>10</v>
      </c>
      <c r="B15" t="s">
        <v>24</v>
      </c>
      <c r="D15" t="s">
        <v>37</v>
      </c>
      <c r="E15">
        <v>1</v>
      </c>
      <c r="F15">
        <v>20</v>
      </c>
      <c r="G15">
        <v>2</v>
      </c>
      <c r="H15" t="s">
        <v>53</v>
      </c>
      <c r="I15">
        <f t="shared" si="0"/>
        <v>0</v>
      </c>
    </row>
    <row r="16" spans="1:9" x14ac:dyDescent="0.35">
      <c r="A16" t="s">
        <v>10</v>
      </c>
      <c r="B16" t="s">
        <v>25</v>
      </c>
      <c r="D16" t="s">
        <v>37</v>
      </c>
      <c r="E16">
        <v>0.5</v>
      </c>
      <c r="F16">
        <v>10</v>
      </c>
      <c r="G16">
        <v>2</v>
      </c>
      <c r="H16" t="s">
        <v>54</v>
      </c>
      <c r="I16">
        <f t="shared" si="0"/>
        <v>0</v>
      </c>
    </row>
    <row r="17" spans="1:9" x14ac:dyDescent="0.35">
      <c r="A17" t="s">
        <v>10</v>
      </c>
      <c r="B17" t="s">
        <v>26</v>
      </c>
      <c r="D17" t="s">
        <v>37</v>
      </c>
      <c r="E17">
        <v>5</v>
      </c>
      <c r="F17">
        <v>10</v>
      </c>
      <c r="G17">
        <v>2</v>
      </c>
      <c r="H17" t="s">
        <v>55</v>
      </c>
      <c r="I17">
        <f t="shared" si="0"/>
        <v>0</v>
      </c>
    </row>
    <row r="18" spans="1:9" x14ac:dyDescent="0.35">
      <c r="A18" t="s">
        <v>10</v>
      </c>
      <c r="B18" t="s">
        <v>27</v>
      </c>
      <c r="C18">
        <v>0.6</v>
      </c>
      <c r="D18" t="s">
        <v>37</v>
      </c>
      <c r="E18">
        <v>0.5</v>
      </c>
      <c r="F18">
        <v>1</v>
      </c>
      <c r="G18">
        <v>2</v>
      </c>
      <c r="H18" t="s">
        <v>56</v>
      </c>
      <c r="I18">
        <f t="shared" si="0"/>
        <v>2</v>
      </c>
    </row>
    <row r="19" spans="1:9" x14ac:dyDescent="0.35">
      <c r="I19" t="str">
        <f t="shared" si="0"/>
        <v/>
      </c>
    </row>
    <row r="20" spans="1:9" x14ac:dyDescent="0.35">
      <c r="A20" t="s">
        <v>11</v>
      </c>
      <c r="B20" t="s">
        <v>28</v>
      </c>
      <c r="E20">
        <v>0</v>
      </c>
      <c r="F20">
        <v>6</v>
      </c>
      <c r="G20">
        <v>5</v>
      </c>
      <c r="H20" t="s">
        <v>57</v>
      </c>
      <c r="I20">
        <f t="shared" si="0"/>
        <v>0</v>
      </c>
    </row>
    <row r="21" spans="1:9" x14ac:dyDescent="0.35">
      <c r="A21" t="s">
        <v>11</v>
      </c>
      <c r="B21" t="s">
        <v>29</v>
      </c>
      <c r="D21" t="s">
        <v>36</v>
      </c>
      <c r="E21">
        <v>0</v>
      </c>
      <c r="F21">
        <v>6</v>
      </c>
      <c r="G21">
        <v>5</v>
      </c>
      <c r="H21" t="s">
        <v>58</v>
      </c>
      <c r="I21">
        <f t="shared" si="0"/>
        <v>0</v>
      </c>
    </row>
    <row r="22" spans="1:9" x14ac:dyDescent="0.35">
      <c r="I22" t="str">
        <f t="shared" si="0"/>
        <v/>
      </c>
    </row>
    <row r="23" spans="1:9" x14ac:dyDescent="0.35">
      <c r="A23" t="s">
        <v>12</v>
      </c>
      <c r="B23" t="s">
        <v>30</v>
      </c>
      <c r="D23" t="s">
        <v>39</v>
      </c>
      <c r="E23">
        <v>1.1000000000000001</v>
      </c>
      <c r="F23">
        <v>1.4</v>
      </c>
      <c r="G23">
        <v>4</v>
      </c>
      <c r="H23" t="s">
        <v>59</v>
      </c>
      <c r="I23">
        <f t="shared" si="0"/>
        <v>0</v>
      </c>
    </row>
    <row r="24" spans="1:9" x14ac:dyDescent="0.35">
      <c r="A24" t="s">
        <v>12</v>
      </c>
      <c r="B24" t="s">
        <v>31</v>
      </c>
      <c r="D24" t="s">
        <v>40</v>
      </c>
      <c r="E24">
        <v>15</v>
      </c>
      <c r="G24">
        <v>3</v>
      </c>
      <c r="H24" t="s">
        <v>60</v>
      </c>
      <c r="I24">
        <f t="shared" si="0"/>
        <v>0</v>
      </c>
    </row>
    <row r="25" spans="1:9" x14ac:dyDescent="0.35">
      <c r="I25" t="str">
        <f t="shared" si="0"/>
        <v/>
      </c>
    </row>
    <row r="26" spans="1:9" x14ac:dyDescent="0.35">
      <c r="A26" t="s">
        <v>13</v>
      </c>
      <c r="B26" t="s">
        <v>67</v>
      </c>
      <c r="D26" t="s">
        <v>41</v>
      </c>
      <c r="E26">
        <v>40</v>
      </c>
      <c r="G26">
        <v>4</v>
      </c>
      <c r="H26" t="s">
        <v>61</v>
      </c>
      <c r="I26">
        <f t="shared" si="0"/>
        <v>0</v>
      </c>
    </row>
    <row r="27" spans="1:9" x14ac:dyDescent="0.35">
      <c r="A27" t="s">
        <v>13</v>
      </c>
      <c r="B27" t="s">
        <v>33</v>
      </c>
      <c r="D27" t="s">
        <v>37</v>
      </c>
      <c r="E27">
        <v>250</v>
      </c>
      <c r="G27">
        <v>4</v>
      </c>
      <c r="H27" t="s">
        <v>62</v>
      </c>
      <c r="I27">
        <f t="shared" si="0"/>
        <v>0</v>
      </c>
    </row>
    <row r="28" spans="1:9" x14ac:dyDescent="0.35">
      <c r="A28" t="s">
        <v>13</v>
      </c>
      <c r="B28" t="s">
        <v>34</v>
      </c>
      <c r="D28" t="s">
        <v>42</v>
      </c>
      <c r="E28">
        <v>10</v>
      </c>
      <c r="G28">
        <v>2</v>
      </c>
      <c r="H28" t="s">
        <v>63</v>
      </c>
      <c r="I28">
        <f t="shared" si="0"/>
        <v>0</v>
      </c>
    </row>
    <row r="31" spans="1:9" x14ac:dyDescent="0.35">
      <c r="G31">
        <f>SUM(G2:G28)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3649-68BB-49EA-8EC7-6193A0FA8D69}">
  <dimension ref="A1:J38"/>
  <sheetViews>
    <sheetView workbookViewId="0">
      <selection sqref="A1:H35"/>
    </sheetView>
  </sheetViews>
  <sheetFormatPr defaultRowHeight="14.5" x14ac:dyDescent="0.35"/>
  <cols>
    <col min="1" max="1" width="10.90625" bestFit="1" customWidth="1"/>
    <col min="2" max="2" width="37.1796875" bestFit="1" customWidth="1"/>
    <col min="3" max="3" width="9.453125" style="2" customWidth="1"/>
    <col min="4" max="4" width="15.1796875" style="2" bestFit="1" customWidth="1"/>
    <col min="5" max="5" width="13" style="2" bestFit="1" customWidth="1"/>
    <col min="6" max="6" width="13.36328125" style="2" bestFit="1" customWidth="1"/>
    <col min="7" max="7" width="10.26953125" style="2" bestFit="1" customWidth="1"/>
    <col min="8" max="8" width="65.90625" bestFit="1" customWidth="1"/>
  </cols>
  <sheetData>
    <row r="1" spans="1:10" x14ac:dyDescent="0.35">
      <c r="A1" t="s">
        <v>0</v>
      </c>
      <c r="B1" t="s">
        <v>68</v>
      </c>
      <c r="C1" s="2" t="s">
        <v>64</v>
      </c>
      <c r="D1" s="2" t="s">
        <v>2</v>
      </c>
      <c r="E1" s="2" t="s">
        <v>3</v>
      </c>
      <c r="F1" s="2" t="s">
        <v>4</v>
      </c>
      <c r="G1" s="2" t="s">
        <v>5</v>
      </c>
      <c r="H1" t="s">
        <v>69</v>
      </c>
    </row>
    <row r="2" spans="1:10" x14ac:dyDescent="0.35">
      <c r="A2" t="s">
        <v>70</v>
      </c>
      <c r="B2" t="s">
        <v>71</v>
      </c>
      <c r="D2" s="2" t="s">
        <v>36</v>
      </c>
      <c r="E2" s="2" t="s">
        <v>72</v>
      </c>
      <c r="F2" s="2" t="s">
        <v>72</v>
      </c>
      <c r="G2" s="2">
        <v>5</v>
      </c>
      <c r="H2" t="s">
        <v>73</v>
      </c>
    </row>
    <row r="3" spans="1:10" x14ac:dyDescent="0.35">
      <c r="A3" t="s">
        <v>70</v>
      </c>
      <c r="B3" t="s">
        <v>74</v>
      </c>
      <c r="D3" s="2" t="s">
        <v>39</v>
      </c>
      <c r="E3" s="2">
        <v>1.1000000000000001</v>
      </c>
      <c r="F3" s="2">
        <v>1.4</v>
      </c>
      <c r="G3" s="2">
        <v>6</v>
      </c>
      <c r="H3" t="s">
        <v>75</v>
      </c>
    </row>
    <row r="4" spans="1:10" x14ac:dyDescent="0.35">
      <c r="A4" t="s">
        <v>70</v>
      </c>
      <c r="B4" t="s">
        <v>76</v>
      </c>
      <c r="D4" s="2" t="s">
        <v>36</v>
      </c>
      <c r="E4" s="2" t="s">
        <v>77</v>
      </c>
      <c r="G4" s="2">
        <v>6</v>
      </c>
      <c r="H4" t="s">
        <v>78</v>
      </c>
    </row>
    <row r="5" spans="1:10" x14ac:dyDescent="0.35">
      <c r="A5" t="s">
        <v>70</v>
      </c>
      <c r="B5" t="s">
        <v>79</v>
      </c>
      <c r="D5" s="2" t="s">
        <v>40</v>
      </c>
      <c r="E5" s="2">
        <v>15</v>
      </c>
      <c r="G5" s="2">
        <v>5</v>
      </c>
      <c r="H5" t="s">
        <v>80</v>
      </c>
    </row>
    <row r="6" spans="1:10" x14ac:dyDescent="0.35">
      <c r="A6" t="s">
        <v>70</v>
      </c>
      <c r="B6" t="s">
        <v>81</v>
      </c>
      <c r="D6" s="2" t="s">
        <v>82</v>
      </c>
      <c r="E6" s="2" t="s">
        <v>72</v>
      </c>
      <c r="F6" s="2" t="s">
        <v>83</v>
      </c>
      <c r="G6" s="2">
        <v>4</v>
      </c>
      <c r="H6" t="s">
        <v>84</v>
      </c>
    </row>
    <row r="7" spans="1:10" x14ac:dyDescent="0.35">
      <c r="A7" t="s">
        <v>70</v>
      </c>
      <c r="B7" t="s">
        <v>85</v>
      </c>
      <c r="D7" s="2" t="s">
        <v>36</v>
      </c>
      <c r="E7" s="2" t="s">
        <v>86</v>
      </c>
      <c r="G7" s="2">
        <v>4</v>
      </c>
      <c r="H7" t="s">
        <v>87</v>
      </c>
    </row>
    <row r="8" spans="1:10" x14ac:dyDescent="0.35">
      <c r="J8">
        <f>SUM(G2:G7)</f>
        <v>30</v>
      </c>
    </row>
    <row r="9" spans="1:10" x14ac:dyDescent="0.35">
      <c r="A9" t="s">
        <v>88</v>
      </c>
      <c r="B9" t="s">
        <v>89</v>
      </c>
      <c r="D9" s="2" t="s">
        <v>72</v>
      </c>
      <c r="E9" s="2">
        <v>6</v>
      </c>
      <c r="F9" s="2">
        <v>7.5</v>
      </c>
      <c r="G9" s="2">
        <v>7</v>
      </c>
      <c r="H9" t="s">
        <v>90</v>
      </c>
    </row>
    <row r="10" spans="1:10" x14ac:dyDescent="0.35">
      <c r="A10" t="s">
        <v>88</v>
      </c>
      <c r="B10" t="s">
        <v>91</v>
      </c>
      <c r="D10" s="2" t="s">
        <v>35</v>
      </c>
      <c r="E10" s="2">
        <v>0</v>
      </c>
      <c r="F10" s="2">
        <v>2</v>
      </c>
      <c r="G10" s="2">
        <v>6</v>
      </c>
      <c r="H10" t="s">
        <v>92</v>
      </c>
    </row>
    <row r="11" spans="1:10" x14ac:dyDescent="0.35">
      <c r="A11" t="s">
        <v>88</v>
      </c>
      <c r="B11" t="s">
        <v>93</v>
      </c>
      <c r="D11" s="2" t="s">
        <v>36</v>
      </c>
      <c r="E11" s="2">
        <v>3</v>
      </c>
      <c r="F11" s="2">
        <v>6</v>
      </c>
      <c r="G11" s="2">
        <v>8</v>
      </c>
      <c r="H11" t="s">
        <v>94</v>
      </c>
      <c r="J11">
        <f>SUM(G9:G11)</f>
        <v>21</v>
      </c>
    </row>
    <row r="12" spans="1:10" x14ac:dyDescent="0.35">
      <c r="A12" t="s">
        <v>88</v>
      </c>
      <c r="B12" t="s">
        <v>95</v>
      </c>
      <c r="D12" s="2" t="s">
        <v>96</v>
      </c>
      <c r="E12" s="2" t="s">
        <v>97</v>
      </c>
      <c r="G12" s="2">
        <v>4</v>
      </c>
      <c r="H12" t="s">
        <v>98</v>
      </c>
    </row>
    <row r="13" spans="1:10" x14ac:dyDescent="0.35">
      <c r="A13" t="s">
        <v>88</v>
      </c>
      <c r="B13" t="s">
        <v>99</v>
      </c>
      <c r="D13" s="2" t="s">
        <v>36</v>
      </c>
      <c r="E13" s="2">
        <v>50</v>
      </c>
      <c r="F13" s="2">
        <v>80</v>
      </c>
      <c r="G13" s="2">
        <v>1</v>
      </c>
      <c r="H13" t="s">
        <v>100</v>
      </c>
    </row>
    <row r="14" spans="1:10" x14ac:dyDescent="0.35">
      <c r="A14" t="s">
        <v>88</v>
      </c>
      <c r="B14" t="s">
        <v>101</v>
      </c>
      <c r="D14" s="2" t="s">
        <v>37</v>
      </c>
      <c r="E14" s="2">
        <v>20</v>
      </c>
      <c r="F14" s="2">
        <v>50</v>
      </c>
      <c r="G14" s="2">
        <v>2</v>
      </c>
      <c r="H14" t="s">
        <v>102</v>
      </c>
    </row>
    <row r="15" spans="1:10" x14ac:dyDescent="0.35">
      <c r="A15" t="s">
        <v>88</v>
      </c>
      <c r="B15" t="s">
        <v>103</v>
      </c>
      <c r="D15" s="2" t="s">
        <v>37</v>
      </c>
      <c r="E15" s="2">
        <v>15</v>
      </c>
      <c r="F15" s="2">
        <v>30</v>
      </c>
      <c r="G15" s="2">
        <v>2</v>
      </c>
      <c r="H15" t="s">
        <v>104</v>
      </c>
    </row>
    <row r="16" spans="1:10" x14ac:dyDescent="0.35">
      <c r="A16" t="s">
        <v>88</v>
      </c>
      <c r="B16" t="s">
        <v>105</v>
      </c>
      <c r="D16" s="2" t="s">
        <v>37</v>
      </c>
      <c r="E16" s="2">
        <v>100</v>
      </c>
      <c r="F16" s="2">
        <v>200</v>
      </c>
      <c r="G16" s="2">
        <v>2</v>
      </c>
      <c r="H16" t="s">
        <v>106</v>
      </c>
    </row>
    <row r="17" spans="1:10" x14ac:dyDescent="0.35">
      <c r="A17" t="s">
        <v>88</v>
      </c>
      <c r="B17" t="s">
        <v>107</v>
      </c>
      <c r="D17" s="2" t="s">
        <v>38</v>
      </c>
      <c r="E17" s="2">
        <v>1000</v>
      </c>
      <c r="F17" s="2">
        <v>2000</v>
      </c>
      <c r="G17" s="2">
        <v>1</v>
      </c>
      <c r="H17" t="s">
        <v>108</v>
      </c>
    </row>
    <row r="18" spans="1:10" x14ac:dyDescent="0.35">
      <c r="A18" t="s">
        <v>88</v>
      </c>
      <c r="B18" t="s">
        <v>109</v>
      </c>
      <c r="D18" s="2" t="s">
        <v>38</v>
      </c>
      <c r="E18" s="2">
        <v>120</v>
      </c>
      <c r="F18" s="2">
        <v>240</v>
      </c>
      <c r="G18" s="2">
        <v>1</v>
      </c>
      <c r="H18" t="s">
        <v>110</v>
      </c>
    </row>
    <row r="19" spans="1:10" x14ac:dyDescent="0.35">
      <c r="A19" t="s">
        <v>88</v>
      </c>
      <c r="B19" t="s">
        <v>111</v>
      </c>
      <c r="D19" s="2" t="s">
        <v>37</v>
      </c>
      <c r="E19" s="2">
        <v>10</v>
      </c>
      <c r="F19" s="2">
        <v>20</v>
      </c>
      <c r="G19" s="2">
        <v>1</v>
      </c>
      <c r="H19" t="s">
        <v>112</v>
      </c>
    </row>
    <row r="20" spans="1:10" x14ac:dyDescent="0.35">
      <c r="A20" t="s">
        <v>88</v>
      </c>
      <c r="B20" t="s">
        <v>113</v>
      </c>
      <c r="D20" s="2" t="s">
        <v>37</v>
      </c>
      <c r="E20" s="2" t="s">
        <v>114</v>
      </c>
      <c r="G20" s="2">
        <v>1</v>
      </c>
      <c r="H20" t="s">
        <v>115</v>
      </c>
    </row>
    <row r="21" spans="1:10" x14ac:dyDescent="0.35">
      <c r="A21" t="s">
        <v>88</v>
      </c>
      <c r="B21" t="s">
        <v>116</v>
      </c>
      <c r="D21" s="2" t="s">
        <v>37</v>
      </c>
      <c r="E21" s="2" t="s">
        <v>117</v>
      </c>
      <c r="G21" s="2">
        <v>0.5</v>
      </c>
      <c r="H21" t="s">
        <v>118</v>
      </c>
    </row>
    <row r="22" spans="1:10" x14ac:dyDescent="0.35">
      <c r="A22" t="s">
        <v>88</v>
      </c>
      <c r="B22" t="s">
        <v>119</v>
      </c>
      <c r="D22" s="2" t="s">
        <v>37</v>
      </c>
      <c r="E22" s="2" t="s">
        <v>120</v>
      </c>
      <c r="G22" s="2">
        <v>0.5</v>
      </c>
      <c r="H22" t="s">
        <v>121</v>
      </c>
    </row>
    <row r="23" spans="1:10" x14ac:dyDescent="0.35">
      <c r="A23" t="s">
        <v>88</v>
      </c>
      <c r="B23" t="s">
        <v>122</v>
      </c>
      <c r="D23" s="2" t="s">
        <v>37</v>
      </c>
      <c r="E23" s="2" t="s">
        <v>123</v>
      </c>
      <c r="G23" s="2">
        <v>0.5</v>
      </c>
      <c r="H23" t="s">
        <v>124</v>
      </c>
    </row>
    <row r="24" spans="1:10" x14ac:dyDescent="0.35">
      <c r="A24" t="s">
        <v>88</v>
      </c>
      <c r="B24" t="s">
        <v>125</v>
      </c>
      <c r="D24" s="2" t="s">
        <v>37</v>
      </c>
      <c r="E24" s="2">
        <v>0.5</v>
      </c>
      <c r="F24" s="2">
        <v>1</v>
      </c>
      <c r="G24" s="2">
        <v>0.5</v>
      </c>
      <c r="H24" t="s">
        <v>126</v>
      </c>
    </row>
    <row r="25" spans="1:10" x14ac:dyDescent="0.35">
      <c r="A25" t="s">
        <v>88</v>
      </c>
      <c r="B25" t="s">
        <v>28</v>
      </c>
      <c r="D25" s="2" t="s">
        <v>72</v>
      </c>
      <c r="E25" s="2">
        <v>0</v>
      </c>
      <c r="F25" s="2">
        <v>6</v>
      </c>
      <c r="G25" s="2">
        <v>1</v>
      </c>
      <c r="H25" t="s">
        <v>127</v>
      </c>
    </row>
    <row r="26" spans="1:10" x14ac:dyDescent="0.35">
      <c r="A26" t="s">
        <v>88</v>
      </c>
      <c r="B26" t="s">
        <v>29</v>
      </c>
      <c r="D26" s="2" t="s">
        <v>36</v>
      </c>
      <c r="E26" s="2">
        <v>0</v>
      </c>
      <c r="F26" s="2">
        <v>6</v>
      </c>
      <c r="G26" s="2">
        <v>1</v>
      </c>
      <c r="H26" t="s">
        <v>128</v>
      </c>
    </row>
    <row r="27" spans="1:10" x14ac:dyDescent="0.35">
      <c r="J27">
        <f>SUM(G9:G26)</f>
        <v>40</v>
      </c>
    </row>
    <row r="28" spans="1:10" x14ac:dyDescent="0.35">
      <c r="A28" t="s">
        <v>129</v>
      </c>
      <c r="B28" t="s">
        <v>130</v>
      </c>
      <c r="D28" s="2" t="s">
        <v>37</v>
      </c>
      <c r="E28" s="2" t="s">
        <v>131</v>
      </c>
      <c r="G28" s="2">
        <v>5</v>
      </c>
      <c r="H28" t="s">
        <v>132</v>
      </c>
    </row>
    <row r="29" spans="1:10" x14ac:dyDescent="0.35">
      <c r="A29" t="s">
        <v>129</v>
      </c>
      <c r="B29" t="s">
        <v>133</v>
      </c>
      <c r="D29" s="2" t="s">
        <v>134</v>
      </c>
      <c r="E29" s="2" t="s">
        <v>135</v>
      </c>
      <c r="G29" s="2">
        <v>5</v>
      </c>
      <c r="H29" t="s">
        <v>136</v>
      </c>
    </row>
    <row r="30" spans="1:10" x14ac:dyDescent="0.35">
      <c r="A30" t="s">
        <v>129</v>
      </c>
      <c r="B30" t="s">
        <v>137</v>
      </c>
      <c r="D30" s="2" t="s">
        <v>138</v>
      </c>
      <c r="E30" s="2" t="s">
        <v>139</v>
      </c>
      <c r="G30" s="2">
        <v>3</v>
      </c>
      <c r="H30" t="s">
        <v>140</v>
      </c>
    </row>
    <row r="31" spans="1:10" x14ac:dyDescent="0.35">
      <c r="A31" t="s">
        <v>129</v>
      </c>
      <c r="B31" t="s">
        <v>141</v>
      </c>
      <c r="D31" s="2" t="s">
        <v>37</v>
      </c>
      <c r="E31" s="2" t="s">
        <v>142</v>
      </c>
      <c r="G31" s="2">
        <v>4</v>
      </c>
      <c r="H31" t="s">
        <v>143</v>
      </c>
    </row>
    <row r="32" spans="1:10" x14ac:dyDescent="0.35">
      <c r="A32" t="s">
        <v>129</v>
      </c>
      <c r="B32" t="s">
        <v>144</v>
      </c>
      <c r="D32" s="2" t="s">
        <v>36</v>
      </c>
      <c r="E32" s="2" t="s">
        <v>145</v>
      </c>
      <c r="G32" s="2">
        <v>9</v>
      </c>
      <c r="H32" t="s">
        <v>146</v>
      </c>
    </row>
    <row r="33" spans="1:10" x14ac:dyDescent="0.35">
      <c r="A33" t="s">
        <v>129</v>
      </c>
      <c r="B33" t="s">
        <v>147</v>
      </c>
      <c r="D33" s="2" t="s">
        <v>148</v>
      </c>
      <c r="E33" s="2" t="s">
        <v>149</v>
      </c>
      <c r="G33" s="2">
        <v>2</v>
      </c>
      <c r="H33" t="s">
        <v>150</v>
      </c>
    </row>
    <row r="34" spans="1:10" x14ac:dyDescent="0.35">
      <c r="A34" t="s">
        <v>129</v>
      </c>
      <c r="B34" t="s">
        <v>151</v>
      </c>
      <c r="D34" s="2" t="s">
        <v>42</v>
      </c>
      <c r="E34" s="2" t="s">
        <v>97</v>
      </c>
      <c r="G34" s="2">
        <v>1</v>
      </c>
      <c r="H34" t="s">
        <v>152</v>
      </c>
    </row>
    <row r="35" spans="1:10" x14ac:dyDescent="0.35">
      <c r="A35" t="s">
        <v>129</v>
      </c>
      <c r="B35" t="s">
        <v>153</v>
      </c>
      <c r="D35" s="2" t="s">
        <v>154</v>
      </c>
      <c r="E35" s="2" t="s">
        <v>155</v>
      </c>
      <c r="G35" s="2">
        <v>1</v>
      </c>
      <c r="H35" t="s">
        <v>156</v>
      </c>
    </row>
    <row r="36" spans="1:10" x14ac:dyDescent="0.35">
      <c r="J36">
        <f>SUM(G28:G35)</f>
        <v>30</v>
      </c>
    </row>
    <row r="38" spans="1:10" x14ac:dyDescent="0.35">
      <c r="G38" s="2">
        <f>SUM(G2:G35)</f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9AE6-D940-4D15-8FF0-F905D19D656D}">
  <dimension ref="A1:M37"/>
  <sheetViews>
    <sheetView tabSelected="1" topLeftCell="H1" workbookViewId="0">
      <selection activeCell="K7" sqref="K7"/>
    </sheetView>
  </sheetViews>
  <sheetFormatPr defaultRowHeight="14.5" x14ac:dyDescent="0.35"/>
  <cols>
    <col min="1" max="1" width="10.90625" bestFit="1" customWidth="1"/>
    <col min="2" max="2" width="37.1796875" bestFit="1" customWidth="1"/>
    <col min="3" max="3" width="5.453125" bestFit="1" customWidth="1"/>
    <col min="4" max="4" width="15.1796875" bestFit="1" customWidth="1"/>
    <col min="5" max="5" width="13" bestFit="1" customWidth="1"/>
    <col min="6" max="6" width="13.36328125" bestFit="1" customWidth="1"/>
    <col min="7" max="7" width="10.26953125" bestFit="1" customWidth="1"/>
    <col min="8" max="8" width="65.90625" bestFit="1" customWidth="1"/>
    <col min="9" max="9" width="36.26953125" style="3" bestFit="1" customWidth="1"/>
    <col min="10" max="10" width="26.453125" style="4" bestFit="1" customWidth="1"/>
    <col min="11" max="11" width="21.54296875" style="5" bestFit="1" customWidth="1"/>
    <col min="12" max="12" width="17.26953125" style="5" bestFit="1" customWidth="1"/>
    <col min="13" max="13" width="36.36328125" style="6" bestFit="1" customWidth="1"/>
  </cols>
  <sheetData>
    <row r="1" spans="1:13" x14ac:dyDescent="0.35">
      <c r="A1" t="s">
        <v>0</v>
      </c>
      <c r="B1" t="s">
        <v>68</v>
      </c>
      <c r="C1" t="s">
        <v>64</v>
      </c>
      <c r="D1" t="s">
        <v>2</v>
      </c>
      <c r="E1" t="s">
        <v>3</v>
      </c>
      <c r="F1" t="s">
        <v>4</v>
      </c>
      <c r="G1" t="s">
        <v>5</v>
      </c>
      <c r="H1" t="s">
        <v>69</v>
      </c>
      <c r="I1" s="3" t="s">
        <v>157</v>
      </c>
      <c r="J1" s="4" t="s">
        <v>158</v>
      </c>
      <c r="K1" s="5" t="s">
        <v>159</v>
      </c>
      <c r="L1" s="5" t="s">
        <v>160</v>
      </c>
      <c r="M1" s="6" t="s">
        <v>161</v>
      </c>
    </row>
    <row r="2" spans="1:13" x14ac:dyDescent="0.35">
      <c r="A2" t="s">
        <v>70</v>
      </c>
      <c r="B2" t="s">
        <v>71</v>
      </c>
      <c r="D2" t="s">
        <v>36</v>
      </c>
      <c r="E2" t="s">
        <v>72</v>
      </c>
      <c r="F2" t="s">
        <v>72</v>
      </c>
      <c r="G2">
        <v>5</v>
      </c>
      <c r="H2" t="s">
        <v>73</v>
      </c>
      <c r="I2" s="3" t="s">
        <v>162</v>
      </c>
      <c r="J2" s="4" t="s">
        <v>163</v>
      </c>
      <c r="K2" s="5" t="s">
        <v>164</v>
      </c>
      <c r="L2" s="5" t="s">
        <v>165</v>
      </c>
      <c r="M2" s="6" t="s">
        <v>166</v>
      </c>
    </row>
    <row r="3" spans="1:13" x14ac:dyDescent="0.35">
      <c r="A3" t="s">
        <v>70</v>
      </c>
      <c r="B3" t="s">
        <v>74</v>
      </c>
      <c r="D3" t="s">
        <v>39</v>
      </c>
      <c r="E3">
        <v>1.1000000000000001</v>
      </c>
      <c r="F3">
        <v>1.4</v>
      </c>
      <c r="G3">
        <v>6</v>
      </c>
      <c r="H3" t="s">
        <v>75</v>
      </c>
      <c r="I3" s="3" t="s">
        <v>167</v>
      </c>
      <c r="J3" s="4" t="s">
        <v>168</v>
      </c>
      <c r="K3" s="5" t="s">
        <v>169</v>
      </c>
      <c r="L3" s="5" t="s">
        <v>170</v>
      </c>
      <c r="M3" s="6" t="s">
        <v>171</v>
      </c>
    </row>
    <row r="4" spans="1:13" x14ac:dyDescent="0.35">
      <c r="A4" t="s">
        <v>70</v>
      </c>
      <c r="B4" t="s">
        <v>76</v>
      </c>
      <c r="D4" t="s">
        <v>36</v>
      </c>
      <c r="E4" t="s">
        <v>77</v>
      </c>
      <c r="G4">
        <v>6</v>
      </c>
      <c r="H4" t="s">
        <v>78</v>
      </c>
      <c r="I4" s="3" t="s">
        <v>172</v>
      </c>
      <c r="J4" s="4" t="s">
        <v>173</v>
      </c>
      <c r="K4" s="5" t="s">
        <v>174</v>
      </c>
      <c r="L4" s="5" t="s">
        <v>175</v>
      </c>
      <c r="M4" s="6" t="s">
        <v>176</v>
      </c>
    </row>
    <row r="5" spans="1:13" x14ac:dyDescent="0.35">
      <c r="A5" t="s">
        <v>70</v>
      </c>
      <c r="B5" t="s">
        <v>79</v>
      </c>
      <c r="D5" t="s">
        <v>40</v>
      </c>
      <c r="E5">
        <v>15</v>
      </c>
      <c r="G5">
        <v>5</v>
      </c>
      <c r="H5" t="s">
        <v>80</v>
      </c>
      <c r="I5" s="3" t="s">
        <v>177</v>
      </c>
      <c r="J5" s="4" t="s">
        <v>178</v>
      </c>
      <c r="K5" s="5" t="s">
        <v>179</v>
      </c>
      <c r="L5" s="5" t="s">
        <v>180</v>
      </c>
      <c r="M5" s="6" t="s">
        <v>181</v>
      </c>
    </row>
    <row r="6" spans="1:13" x14ac:dyDescent="0.35">
      <c r="A6" t="s">
        <v>70</v>
      </c>
      <c r="B6" t="s">
        <v>81</v>
      </c>
      <c r="D6" t="s">
        <v>82</v>
      </c>
      <c r="E6" t="s">
        <v>72</v>
      </c>
      <c r="F6" t="s">
        <v>83</v>
      </c>
      <c r="G6">
        <v>4</v>
      </c>
      <c r="H6" t="s">
        <v>84</v>
      </c>
      <c r="I6" s="3" t="s">
        <v>83</v>
      </c>
      <c r="J6" s="4" t="s">
        <v>182</v>
      </c>
      <c r="K6" s="5" t="s">
        <v>183</v>
      </c>
      <c r="L6" s="5" t="s">
        <v>184</v>
      </c>
      <c r="M6" s="6" t="s">
        <v>185</v>
      </c>
    </row>
    <row r="7" spans="1:13" x14ac:dyDescent="0.35">
      <c r="A7" t="s">
        <v>70</v>
      </c>
      <c r="B7" t="s">
        <v>85</v>
      </c>
      <c r="D7" t="s">
        <v>36</v>
      </c>
      <c r="E7" t="s">
        <v>86</v>
      </c>
      <c r="G7">
        <v>4</v>
      </c>
      <c r="H7" t="s">
        <v>87</v>
      </c>
      <c r="I7" s="3" t="s">
        <v>186</v>
      </c>
      <c r="J7" s="4" t="s">
        <v>187</v>
      </c>
      <c r="K7" s="5" t="s">
        <v>188</v>
      </c>
      <c r="L7" s="5" t="s">
        <v>189</v>
      </c>
      <c r="M7" s="6" t="s">
        <v>190</v>
      </c>
    </row>
    <row r="9" spans="1:13" x14ac:dyDescent="0.35">
      <c r="A9" t="s">
        <v>88</v>
      </c>
      <c r="B9" t="s">
        <v>89</v>
      </c>
      <c r="D9" t="s">
        <v>72</v>
      </c>
      <c r="E9">
        <v>6</v>
      </c>
      <c r="F9">
        <v>7.5</v>
      </c>
      <c r="G9">
        <v>7</v>
      </c>
      <c r="H9" t="s">
        <v>90</v>
      </c>
      <c r="I9" s="3" t="s">
        <v>191</v>
      </c>
      <c r="J9" s="4" t="s">
        <v>192</v>
      </c>
      <c r="K9" s="5" t="s">
        <v>193</v>
      </c>
      <c r="L9" s="5" t="s">
        <v>194</v>
      </c>
      <c r="M9" s="6" t="s">
        <v>195</v>
      </c>
    </row>
    <row r="10" spans="1:13" x14ac:dyDescent="0.35">
      <c r="A10" t="s">
        <v>88</v>
      </c>
      <c r="B10" t="s">
        <v>91</v>
      </c>
      <c r="D10" t="s">
        <v>35</v>
      </c>
      <c r="E10">
        <v>0</v>
      </c>
      <c r="F10">
        <v>2</v>
      </c>
      <c r="G10">
        <v>6</v>
      </c>
      <c r="H10" t="s">
        <v>92</v>
      </c>
      <c r="I10" s="3" t="s">
        <v>196</v>
      </c>
      <c r="J10" s="4" t="s">
        <v>197</v>
      </c>
      <c r="K10" s="5" t="s">
        <v>198</v>
      </c>
      <c r="L10" s="5" t="s">
        <v>199</v>
      </c>
      <c r="M10" s="6" t="s">
        <v>200</v>
      </c>
    </row>
    <row r="11" spans="1:13" x14ac:dyDescent="0.35">
      <c r="A11" t="s">
        <v>88</v>
      </c>
      <c r="B11" t="s">
        <v>93</v>
      </c>
      <c r="D11" t="s">
        <v>36</v>
      </c>
      <c r="E11">
        <v>3</v>
      </c>
      <c r="F11">
        <v>6</v>
      </c>
      <c r="G11">
        <v>8</v>
      </c>
      <c r="H11" t="s">
        <v>94</v>
      </c>
      <c r="I11" s="3" t="s">
        <v>201</v>
      </c>
      <c r="J11" s="4" t="s">
        <v>202</v>
      </c>
      <c r="K11" s="5" t="s">
        <v>203</v>
      </c>
      <c r="L11" s="5" t="s">
        <v>204</v>
      </c>
      <c r="M11" s="6" t="s">
        <v>205</v>
      </c>
    </row>
    <row r="12" spans="1:13" x14ac:dyDescent="0.35">
      <c r="A12" t="s">
        <v>88</v>
      </c>
      <c r="B12" t="s">
        <v>95</v>
      </c>
      <c r="D12" t="s">
        <v>96</v>
      </c>
      <c r="E12" t="s">
        <v>97</v>
      </c>
      <c r="G12">
        <v>4</v>
      </c>
      <c r="H12" t="s">
        <v>98</v>
      </c>
      <c r="I12" s="3" t="s">
        <v>206</v>
      </c>
      <c r="J12" s="4" t="s">
        <v>188</v>
      </c>
      <c r="K12" s="5" t="s">
        <v>189</v>
      </c>
      <c r="L12" s="5" t="s">
        <v>207</v>
      </c>
      <c r="M12" s="6" t="s">
        <v>208</v>
      </c>
    </row>
    <row r="13" spans="1:13" x14ac:dyDescent="0.35">
      <c r="A13" t="s">
        <v>88</v>
      </c>
      <c r="B13" t="s">
        <v>99</v>
      </c>
      <c r="D13" t="s">
        <v>36</v>
      </c>
      <c r="E13">
        <v>50</v>
      </c>
      <c r="F13">
        <v>80</v>
      </c>
      <c r="G13">
        <v>1</v>
      </c>
      <c r="H13" t="s">
        <v>100</v>
      </c>
      <c r="I13" s="3" t="s">
        <v>209</v>
      </c>
      <c r="J13" s="4" t="s">
        <v>210</v>
      </c>
      <c r="K13" s="5" t="s">
        <v>211</v>
      </c>
      <c r="L13" s="5" t="s">
        <v>212</v>
      </c>
      <c r="M13" s="6" t="s">
        <v>213</v>
      </c>
    </row>
    <row r="14" spans="1:13" x14ac:dyDescent="0.35">
      <c r="A14" t="s">
        <v>88</v>
      </c>
      <c r="B14" t="s">
        <v>101</v>
      </c>
      <c r="D14" t="s">
        <v>37</v>
      </c>
      <c r="E14">
        <v>20</v>
      </c>
      <c r="F14">
        <v>50</v>
      </c>
      <c r="G14">
        <v>2</v>
      </c>
      <c r="H14" t="s">
        <v>102</v>
      </c>
      <c r="I14" s="3" t="s">
        <v>214</v>
      </c>
      <c r="J14" s="4" t="s">
        <v>178</v>
      </c>
      <c r="K14" s="5" t="s">
        <v>188</v>
      </c>
      <c r="L14" s="5" t="s">
        <v>189</v>
      </c>
      <c r="M14" s="6" t="s">
        <v>215</v>
      </c>
    </row>
    <row r="15" spans="1:13" x14ac:dyDescent="0.35">
      <c r="A15" t="s">
        <v>88</v>
      </c>
      <c r="B15" t="s">
        <v>103</v>
      </c>
      <c r="D15" t="s">
        <v>37</v>
      </c>
      <c r="E15">
        <v>15</v>
      </c>
      <c r="F15">
        <v>30</v>
      </c>
      <c r="G15">
        <v>2</v>
      </c>
      <c r="H15" t="s">
        <v>104</v>
      </c>
      <c r="I15" s="3" t="s">
        <v>216</v>
      </c>
      <c r="J15" s="4" t="s">
        <v>217</v>
      </c>
      <c r="K15" s="5" t="s">
        <v>189</v>
      </c>
      <c r="L15" s="5" t="s">
        <v>207</v>
      </c>
      <c r="M15" s="6" t="s">
        <v>218</v>
      </c>
    </row>
    <row r="16" spans="1:13" x14ac:dyDescent="0.35">
      <c r="A16" t="s">
        <v>88</v>
      </c>
      <c r="B16" t="s">
        <v>105</v>
      </c>
      <c r="D16" t="s">
        <v>37</v>
      </c>
      <c r="E16">
        <v>100</v>
      </c>
      <c r="F16">
        <v>200</v>
      </c>
      <c r="G16">
        <v>2</v>
      </c>
      <c r="H16" t="s">
        <v>106</v>
      </c>
      <c r="I16" s="3" t="s">
        <v>219</v>
      </c>
      <c r="J16" s="4" t="s">
        <v>220</v>
      </c>
      <c r="K16" s="5" t="s">
        <v>209</v>
      </c>
      <c r="L16" s="5" t="s">
        <v>174</v>
      </c>
      <c r="M16" s="6" t="s">
        <v>221</v>
      </c>
    </row>
    <row r="17" spans="1:13" x14ac:dyDescent="0.35">
      <c r="A17" t="s">
        <v>88</v>
      </c>
      <c r="B17" t="s">
        <v>107</v>
      </c>
      <c r="D17" t="s">
        <v>38</v>
      </c>
      <c r="E17">
        <v>1000</v>
      </c>
      <c r="F17">
        <v>2000</v>
      </c>
      <c r="G17">
        <v>1</v>
      </c>
      <c r="H17" t="s">
        <v>108</v>
      </c>
      <c r="I17" s="3" t="s">
        <v>222</v>
      </c>
      <c r="J17" s="4" t="s">
        <v>223</v>
      </c>
      <c r="K17" s="5" t="s">
        <v>184</v>
      </c>
      <c r="L17" s="5" t="s">
        <v>183</v>
      </c>
      <c r="M17" s="6" t="s">
        <v>224</v>
      </c>
    </row>
    <row r="18" spans="1:13" x14ac:dyDescent="0.35">
      <c r="A18" t="s">
        <v>88</v>
      </c>
      <c r="B18" t="s">
        <v>109</v>
      </c>
      <c r="D18" t="s">
        <v>38</v>
      </c>
      <c r="E18">
        <v>120</v>
      </c>
      <c r="F18">
        <v>240</v>
      </c>
      <c r="G18">
        <v>1</v>
      </c>
      <c r="H18" t="s">
        <v>110</v>
      </c>
      <c r="I18" s="3" t="s">
        <v>225</v>
      </c>
      <c r="J18" s="4" t="s">
        <v>226</v>
      </c>
      <c r="K18" s="5" t="s">
        <v>209</v>
      </c>
      <c r="L18" s="5" t="s">
        <v>174</v>
      </c>
      <c r="M18" s="6" t="s">
        <v>227</v>
      </c>
    </row>
    <row r="19" spans="1:13" x14ac:dyDescent="0.35">
      <c r="A19" t="s">
        <v>88</v>
      </c>
      <c r="B19" t="s">
        <v>111</v>
      </c>
      <c r="D19" t="s">
        <v>37</v>
      </c>
      <c r="E19">
        <v>10</v>
      </c>
      <c r="F19">
        <v>20</v>
      </c>
      <c r="G19">
        <v>1</v>
      </c>
      <c r="H19" t="s">
        <v>112</v>
      </c>
      <c r="I19" s="3" t="s">
        <v>228</v>
      </c>
      <c r="J19" s="4" t="s">
        <v>229</v>
      </c>
      <c r="K19" s="5" t="s">
        <v>230</v>
      </c>
      <c r="L19" s="5" t="s">
        <v>207</v>
      </c>
      <c r="M19" s="6" t="s">
        <v>231</v>
      </c>
    </row>
    <row r="20" spans="1:13" x14ac:dyDescent="0.35">
      <c r="A20" t="s">
        <v>88</v>
      </c>
      <c r="B20" t="s">
        <v>113</v>
      </c>
      <c r="D20" t="s">
        <v>37</v>
      </c>
      <c r="E20" t="s">
        <v>114</v>
      </c>
      <c r="G20">
        <v>1</v>
      </c>
      <c r="H20" t="s">
        <v>115</v>
      </c>
      <c r="I20" s="3" t="s">
        <v>232</v>
      </c>
      <c r="J20" s="4" t="s">
        <v>233</v>
      </c>
      <c r="K20" s="5" t="s">
        <v>234</v>
      </c>
      <c r="L20" s="5" t="s">
        <v>235</v>
      </c>
      <c r="M20" s="6" t="s">
        <v>181</v>
      </c>
    </row>
    <row r="21" spans="1:13" x14ac:dyDescent="0.35">
      <c r="A21" t="s">
        <v>88</v>
      </c>
      <c r="B21" t="s">
        <v>116</v>
      </c>
      <c r="D21" t="s">
        <v>37</v>
      </c>
      <c r="E21" t="s">
        <v>117</v>
      </c>
      <c r="G21">
        <v>0.5</v>
      </c>
      <c r="H21" t="s">
        <v>118</v>
      </c>
      <c r="I21" s="3" t="s">
        <v>145</v>
      </c>
      <c r="J21" s="4" t="s">
        <v>236</v>
      </c>
      <c r="K21" s="5" t="s">
        <v>237</v>
      </c>
      <c r="L21" s="5" t="s">
        <v>238</v>
      </c>
      <c r="M21" s="6" t="s">
        <v>205</v>
      </c>
    </row>
    <row r="22" spans="1:13" x14ac:dyDescent="0.35">
      <c r="A22" t="s">
        <v>88</v>
      </c>
      <c r="B22" t="s">
        <v>119</v>
      </c>
      <c r="D22" t="s">
        <v>37</v>
      </c>
      <c r="E22" t="s">
        <v>120</v>
      </c>
      <c r="G22">
        <v>0.5</v>
      </c>
      <c r="H22" t="s">
        <v>121</v>
      </c>
      <c r="I22" s="3" t="s">
        <v>239</v>
      </c>
      <c r="J22" s="4" t="s">
        <v>240</v>
      </c>
      <c r="K22" s="5" t="s">
        <v>241</v>
      </c>
      <c r="L22" s="5" t="s">
        <v>242</v>
      </c>
      <c r="M22" s="6" t="s">
        <v>243</v>
      </c>
    </row>
    <row r="23" spans="1:13" x14ac:dyDescent="0.35">
      <c r="A23" t="s">
        <v>88</v>
      </c>
      <c r="B23" t="s">
        <v>122</v>
      </c>
      <c r="D23" t="s">
        <v>37</v>
      </c>
      <c r="E23" t="s">
        <v>123</v>
      </c>
      <c r="G23">
        <v>0.5</v>
      </c>
      <c r="H23" t="s">
        <v>124</v>
      </c>
      <c r="I23" s="3" t="s">
        <v>244</v>
      </c>
      <c r="J23" s="4" t="s">
        <v>245</v>
      </c>
      <c r="K23" s="5" t="s">
        <v>207</v>
      </c>
      <c r="L23" s="5" t="s">
        <v>235</v>
      </c>
      <c r="M23" s="6" t="s">
        <v>181</v>
      </c>
    </row>
    <row r="24" spans="1:13" x14ac:dyDescent="0.35">
      <c r="A24" t="s">
        <v>88</v>
      </c>
      <c r="B24" t="s">
        <v>125</v>
      </c>
      <c r="D24" t="s">
        <v>37</v>
      </c>
      <c r="E24">
        <v>0.5</v>
      </c>
      <c r="F24">
        <v>1</v>
      </c>
      <c r="G24">
        <v>0.5</v>
      </c>
      <c r="H24" t="s">
        <v>126</v>
      </c>
      <c r="I24" s="3" t="s">
        <v>246</v>
      </c>
      <c r="J24" s="4" t="s">
        <v>247</v>
      </c>
      <c r="K24" s="5" t="s">
        <v>248</v>
      </c>
      <c r="L24" s="5" t="s">
        <v>249</v>
      </c>
      <c r="M24" s="6" t="s">
        <v>250</v>
      </c>
    </row>
    <row r="25" spans="1:13" x14ac:dyDescent="0.35">
      <c r="A25" t="s">
        <v>88</v>
      </c>
      <c r="B25" t="s">
        <v>28</v>
      </c>
      <c r="D25" t="s">
        <v>72</v>
      </c>
      <c r="E25">
        <v>0</v>
      </c>
      <c r="F25">
        <v>6</v>
      </c>
      <c r="G25">
        <v>1</v>
      </c>
      <c r="H25" t="s">
        <v>127</v>
      </c>
      <c r="I25" s="3" t="s">
        <v>251</v>
      </c>
      <c r="J25" s="4" t="s">
        <v>201</v>
      </c>
      <c r="K25" s="5" t="s">
        <v>252</v>
      </c>
      <c r="L25" s="5" t="s">
        <v>253</v>
      </c>
      <c r="M25" s="6" t="s">
        <v>186</v>
      </c>
    </row>
    <row r="26" spans="1:13" x14ac:dyDescent="0.35">
      <c r="A26" t="s">
        <v>88</v>
      </c>
      <c r="B26" t="s">
        <v>29</v>
      </c>
      <c r="D26" t="s">
        <v>36</v>
      </c>
      <c r="E26">
        <v>0</v>
      </c>
      <c r="F26">
        <v>6</v>
      </c>
      <c r="G26">
        <v>1</v>
      </c>
      <c r="H26" t="s">
        <v>128</v>
      </c>
      <c r="I26" s="3" t="s">
        <v>251</v>
      </c>
      <c r="J26" s="4" t="s">
        <v>201</v>
      </c>
      <c r="K26" s="5" t="s">
        <v>254</v>
      </c>
      <c r="L26" s="5" t="s">
        <v>178</v>
      </c>
      <c r="M26" s="6" t="s">
        <v>255</v>
      </c>
    </row>
    <row r="28" spans="1:13" x14ac:dyDescent="0.35">
      <c r="A28" t="s">
        <v>129</v>
      </c>
      <c r="B28" t="s">
        <v>130</v>
      </c>
      <c r="D28" t="s">
        <v>37</v>
      </c>
      <c r="E28" t="s">
        <v>131</v>
      </c>
      <c r="G28">
        <v>5</v>
      </c>
      <c r="H28" t="s">
        <v>132</v>
      </c>
      <c r="I28" s="3" t="s">
        <v>142</v>
      </c>
      <c r="J28" s="4" t="s">
        <v>256</v>
      </c>
      <c r="K28" s="5" t="s">
        <v>257</v>
      </c>
      <c r="L28" s="5" t="s">
        <v>258</v>
      </c>
      <c r="M28" s="6" t="s">
        <v>259</v>
      </c>
    </row>
    <row r="29" spans="1:13" x14ac:dyDescent="0.35">
      <c r="A29" t="s">
        <v>129</v>
      </c>
      <c r="B29" t="s">
        <v>133</v>
      </c>
      <c r="D29" t="s">
        <v>134</v>
      </c>
      <c r="E29" t="s">
        <v>135</v>
      </c>
      <c r="G29">
        <v>5</v>
      </c>
      <c r="H29" t="s">
        <v>136</v>
      </c>
      <c r="I29" s="3" t="s">
        <v>77</v>
      </c>
      <c r="J29" s="4" t="s">
        <v>174</v>
      </c>
      <c r="K29" s="5" t="s">
        <v>175</v>
      </c>
      <c r="L29" s="5" t="s">
        <v>228</v>
      </c>
      <c r="M29" s="6" t="s">
        <v>260</v>
      </c>
    </row>
    <row r="30" spans="1:13" x14ac:dyDescent="0.35">
      <c r="A30" t="s">
        <v>129</v>
      </c>
      <c r="B30" t="s">
        <v>137</v>
      </c>
      <c r="D30" t="s">
        <v>138</v>
      </c>
      <c r="E30" t="s">
        <v>139</v>
      </c>
      <c r="G30">
        <v>3</v>
      </c>
      <c r="H30" t="s">
        <v>140</v>
      </c>
      <c r="I30" s="3" t="s">
        <v>261</v>
      </c>
      <c r="J30" s="4" t="s">
        <v>262</v>
      </c>
      <c r="K30" s="5" t="s">
        <v>263</v>
      </c>
      <c r="L30" s="5" t="s">
        <v>264</v>
      </c>
      <c r="M30" s="6" t="s">
        <v>265</v>
      </c>
    </row>
    <row r="31" spans="1:13" x14ac:dyDescent="0.35">
      <c r="A31" t="s">
        <v>129</v>
      </c>
      <c r="B31" t="s">
        <v>141</v>
      </c>
      <c r="D31" t="s">
        <v>37</v>
      </c>
      <c r="E31" t="s">
        <v>142</v>
      </c>
      <c r="G31">
        <v>4</v>
      </c>
      <c r="H31" t="s">
        <v>143</v>
      </c>
      <c r="I31" s="3" t="s">
        <v>266</v>
      </c>
      <c r="J31" s="4" t="s">
        <v>267</v>
      </c>
      <c r="K31" s="5" t="s">
        <v>268</v>
      </c>
      <c r="L31" s="5" t="s">
        <v>269</v>
      </c>
      <c r="M31" s="6" t="s">
        <v>270</v>
      </c>
    </row>
    <row r="32" spans="1:13" x14ac:dyDescent="0.35">
      <c r="A32" t="s">
        <v>129</v>
      </c>
      <c r="B32" t="s">
        <v>144</v>
      </c>
      <c r="D32" t="s">
        <v>36</v>
      </c>
      <c r="E32" t="s">
        <v>145</v>
      </c>
      <c r="G32">
        <v>9</v>
      </c>
      <c r="H32" t="s">
        <v>146</v>
      </c>
      <c r="I32" s="3" t="s">
        <v>271</v>
      </c>
      <c r="J32" s="4" t="s">
        <v>272</v>
      </c>
      <c r="K32" s="5" t="s">
        <v>236</v>
      </c>
      <c r="L32" s="5" t="s">
        <v>246</v>
      </c>
      <c r="M32" s="6" t="s">
        <v>205</v>
      </c>
    </row>
    <row r="33" spans="1:13" x14ac:dyDescent="0.35">
      <c r="A33" t="s">
        <v>129</v>
      </c>
      <c r="B33" t="s">
        <v>147</v>
      </c>
      <c r="D33" t="s">
        <v>148</v>
      </c>
      <c r="E33" t="s">
        <v>149</v>
      </c>
      <c r="G33">
        <v>2</v>
      </c>
      <c r="H33" t="s">
        <v>150</v>
      </c>
      <c r="I33" s="3" t="s">
        <v>246</v>
      </c>
      <c r="J33" s="4" t="s">
        <v>241</v>
      </c>
      <c r="K33" s="5" t="s">
        <v>248</v>
      </c>
      <c r="L33" s="5" t="s">
        <v>249</v>
      </c>
      <c r="M33" s="6" t="s">
        <v>243</v>
      </c>
    </row>
    <row r="34" spans="1:13" x14ac:dyDescent="0.35">
      <c r="A34" t="s">
        <v>129</v>
      </c>
      <c r="B34" t="s">
        <v>151</v>
      </c>
      <c r="D34" t="s">
        <v>42</v>
      </c>
      <c r="E34" t="s">
        <v>97</v>
      </c>
      <c r="G34">
        <v>1</v>
      </c>
      <c r="H34" t="s">
        <v>152</v>
      </c>
      <c r="I34" s="3" t="s">
        <v>186</v>
      </c>
      <c r="J34" s="4" t="s">
        <v>228</v>
      </c>
      <c r="K34" s="5" t="s">
        <v>189</v>
      </c>
      <c r="L34" s="5" t="s">
        <v>180</v>
      </c>
      <c r="M34" s="6">
        <v>0</v>
      </c>
    </row>
    <row r="35" spans="1:13" x14ac:dyDescent="0.35">
      <c r="A35" t="s">
        <v>129</v>
      </c>
      <c r="B35" t="s">
        <v>153</v>
      </c>
      <c r="D35" t="s">
        <v>154</v>
      </c>
      <c r="E35" t="s">
        <v>155</v>
      </c>
      <c r="G35">
        <v>1</v>
      </c>
      <c r="H35" t="s">
        <v>156</v>
      </c>
      <c r="I35" s="3" t="s">
        <v>273</v>
      </c>
      <c r="J35" s="4" t="s">
        <v>274</v>
      </c>
      <c r="K35" s="5" t="s">
        <v>275</v>
      </c>
      <c r="L35" s="5" t="s">
        <v>197</v>
      </c>
      <c r="M35" s="6" t="s">
        <v>196</v>
      </c>
    </row>
    <row r="37" spans="1:13" x14ac:dyDescent="0.35">
      <c r="G37">
        <f>SUM(G2:G35)</f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d19dc38-b2a9-4984-bb0b-69201b662e4e}" enabled="1" method="Privileged" siteId="{f9399a4a-bd28-412e-944f-8a14d21c5ee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</vt:lpstr>
      <vt:lpstr>Calculator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</dc:creator>
  <cp:lastModifiedBy>Ahmed Elnaggar</cp:lastModifiedBy>
  <dcterms:created xsi:type="dcterms:W3CDTF">2025-12-01T20:31:04Z</dcterms:created>
  <dcterms:modified xsi:type="dcterms:W3CDTF">2025-12-08T08:04:19Z</dcterms:modified>
</cp:coreProperties>
</file>